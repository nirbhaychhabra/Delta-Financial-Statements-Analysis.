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habra/Downloads/"/>
    </mc:Choice>
  </mc:AlternateContent>
  <xr:revisionPtr revIDLastSave="0" documentId="13_ncr:1_{B11AD3AB-126F-C64E-8C07-A10EAAAAEF6B}" xr6:coauthVersionLast="47" xr6:coauthVersionMax="47" xr10:uidLastSave="{00000000-0000-0000-0000-000000000000}"/>
  <bookViews>
    <workbookView xWindow="-20" yWindow="700" windowWidth="29400" windowHeight="16960" activeTab="2" xr2:uid="{3742F898-1EFD-4317-A121-E1E27468970E}"/>
  </bookViews>
  <sheets>
    <sheet name="Horizontal Analysis" sheetId="1" r:id="rId1"/>
    <sheet name="Vertical Analysis" sheetId="4" r:id="rId2"/>
    <sheet name="Ratio Analysis" sheetId="7" r:id="rId3"/>
    <sheet name="Balance Sheet" sheetId="5" r:id="rId4"/>
    <sheet name="Income Statem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7" l="1"/>
  <c r="E24" i="7"/>
  <c r="F22" i="7"/>
  <c r="E22" i="7"/>
  <c r="E4" i="7"/>
  <c r="F20" i="7"/>
  <c r="E20" i="7"/>
  <c r="F17" i="7"/>
  <c r="E17" i="7"/>
  <c r="F15" i="7"/>
  <c r="E15" i="7"/>
  <c r="F13" i="7"/>
  <c r="E13" i="7"/>
  <c r="F10" i="7"/>
  <c r="E10" i="7"/>
  <c r="F6" i="7"/>
  <c r="E6" i="7"/>
  <c r="F8" i="7"/>
  <c r="E8" i="7"/>
  <c r="F4" i="7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3" i="4"/>
  <c r="M24" i="4"/>
  <c r="M25" i="4"/>
  <c r="M26" i="4"/>
  <c r="M27" i="4"/>
  <c r="M28" i="4"/>
  <c r="M29" i="4"/>
  <c r="M30" i="4"/>
  <c r="M31" i="4"/>
  <c r="M32" i="4"/>
  <c r="M4" i="4"/>
  <c r="E36" i="4"/>
  <c r="E5" i="4"/>
  <c r="E6" i="4"/>
  <c r="E7" i="4"/>
  <c r="E8" i="4"/>
  <c r="E9" i="4"/>
  <c r="E11" i="4"/>
  <c r="E12" i="4"/>
  <c r="E13" i="4"/>
  <c r="E14" i="4"/>
  <c r="E15" i="4"/>
  <c r="E16" i="4"/>
  <c r="E17" i="4"/>
  <c r="E18" i="4"/>
  <c r="E20" i="4"/>
  <c r="E21" i="4"/>
  <c r="E22" i="4"/>
  <c r="E23" i="4"/>
  <c r="E24" i="4"/>
  <c r="E25" i="4"/>
  <c r="E26" i="4"/>
  <c r="E28" i="4"/>
  <c r="E29" i="4"/>
  <c r="E30" i="4"/>
  <c r="E31" i="4"/>
  <c r="E32" i="4"/>
  <c r="E33" i="4"/>
  <c r="E37" i="4"/>
  <c r="E38" i="4"/>
  <c r="E39" i="4"/>
  <c r="E40" i="4"/>
  <c r="E41" i="4"/>
  <c r="E42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3" i="4"/>
  <c r="L24" i="4"/>
  <c r="L25" i="4"/>
  <c r="L26" i="4"/>
  <c r="L27" i="4"/>
  <c r="L28" i="4"/>
  <c r="L29" i="4"/>
  <c r="L30" i="4"/>
  <c r="L31" i="4"/>
  <c r="L32" i="4"/>
  <c r="L4" i="4"/>
  <c r="E4" i="4"/>
  <c r="D4" i="4"/>
  <c r="D5" i="4"/>
  <c r="D6" i="4"/>
  <c r="D7" i="4"/>
  <c r="D8" i="4"/>
  <c r="D9" i="4"/>
  <c r="D11" i="4"/>
  <c r="D12" i="4"/>
  <c r="D13" i="4"/>
  <c r="D14" i="4"/>
  <c r="D15" i="4"/>
  <c r="D16" i="4"/>
  <c r="D17" i="4"/>
  <c r="D18" i="4"/>
  <c r="D20" i="4"/>
  <c r="D21" i="4"/>
  <c r="D22" i="4"/>
  <c r="D23" i="4"/>
  <c r="D24" i="4"/>
  <c r="D25" i="4"/>
  <c r="D26" i="4"/>
  <c r="D28" i="4"/>
  <c r="D29" i="4"/>
  <c r="D30" i="4"/>
  <c r="D31" i="4"/>
  <c r="D32" i="4"/>
  <c r="D33" i="4"/>
  <c r="D36" i="4"/>
  <c r="D37" i="4"/>
  <c r="D38" i="4"/>
  <c r="D39" i="4"/>
  <c r="D40" i="4"/>
  <c r="D41" i="4"/>
  <c r="D42" i="4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29" i="1"/>
  <c r="K30" i="1"/>
  <c r="K31" i="1"/>
  <c r="K32" i="1"/>
  <c r="K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7" i="1"/>
  <c r="E38" i="1"/>
  <c r="E39" i="1"/>
  <c r="E40" i="1"/>
  <c r="E41" i="1"/>
  <c r="E42" i="1"/>
  <c r="E4" i="1"/>
  <c r="D5" i="1"/>
  <c r="D6" i="1"/>
  <c r="D7" i="1"/>
  <c r="D8" i="1"/>
  <c r="D9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8" i="1"/>
  <c r="D29" i="1"/>
  <c r="D30" i="1"/>
  <c r="D31" i="1"/>
  <c r="D32" i="1"/>
  <c r="D33" i="1"/>
  <c r="D36" i="1"/>
  <c r="D37" i="1"/>
  <c r="D38" i="1"/>
  <c r="D39" i="1"/>
  <c r="D40" i="1"/>
  <c r="D41" i="1"/>
  <c r="D42" i="1"/>
  <c r="D4" i="1"/>
</calcChain>
</file>

<file path=xl/sharedStrings.xml><?xml version="1.0" encoding="utf-8"?>
<sst xmlns="http://schemas.openxmlformats.org/spreadsheetml/2006/main" count="280" uniqueCount="115">
  <si>
    <t>12 Months Ended</t>
  </si>
  <si>
    <t>Dec. 31, 2024</t>
  </si>
  <si>
    <t>Dec. 31, 2023</t>
  </si>
  <si>
    <t>$ in Millions</t>
  </si>
  <si>
    <t>Total current assets</t>
  </si>
  <si>
    <t>Total current liabilities</t>
  </si>
  <si>
    <t>Additional paid-in capital</t>
  </si>
  <si>
    <t>Retained earnings</t>
  </si>
  <si>
    <t>Accumulated other comprehensive loss</t>
  </si>
  <si>
    <t>Dollar Change</t>
  </si>
  <si>
    <t>Percent Change</t>
  </si>
  <si>
    <t>Common Size Percents</t>
  </si>
  <si>
    <t>Competitor</t>
  </si>
  <si>
    <t>Liquidity &amp; Efficiency Ratios</t>
  </si>
  <si>
    <t>Example of formula</t>
  </si>
  <si>
    <t>=(Net Sales/((Current year accounts receivable-previous year accounts receivable)/2))</t>
  </si>
  <si>
    <t xml:space="preserve">Total Asset Turnover= </t>
  </si>
  <si>
    <t>Solvency</t>
  </si>
  <si>
    <t xml:space="preserve">Debt Ratio = </t>
  </si>
  <si>
    <t>Total Liabilities/Total Assets</t>
  </si>
  <si>
    <t xml:space="preserve">Debt to Equity = </t>
  </si>
  <si>
    <t>Total Liabilities/Total Equity</t>
  </si>
  <si>
    <t>Times Interest Earned =</t>
  </si>
  <si>
    <t>Income before interst and income tax expense / Interest Expense</t>
  </si>
  <si>
    <t>Profitability</t>
  </si>
  <si>
    <t>Profit Margin Ratio =</t>
  </si>
  <si>
    <t>Net Income/Net Sales</t>
  </si>
  <si>
    <t xml:space="preserve">Return on Total Assets = </t>
  </si>
  <si>
    <t>Return on Equity</t>
  </si>
  <si>
    <t>Consolidated Balance Sheets - USD ($)</t>
  </si>
  <si>
    <t>Current Assets:</t>
  </si>
  <si>
    <t>Cash and cash equivalents</t>
  </si>
  <si>
    <t>Short-term investments</t>
  </si>
  <si>
    <t>Accounts receivable, net of an allowance for uncollectible accounts of $18 and $17</t>
  </si>
  <si>
    <t>Fuel, expendable parts and supplies inventories, net of an allowance for obsolescence of $120 and $123</t>
  </si>
  <si>
    <t>Prepaid expenses and other</t>
  </si>
  <si>
    <t>Noncurrent Assets:</t>
  </si>
  <si>
    <t>Property and equipment, net of accumulated depreciation and amortization of $23,228 and $21,707</t>
  </si>
  <si>
    <t>Operating lease right-of-use assets</t>
  </si>
  <si>
    <t>Goodwill</t>
  </si>
  <si>
    <t>Identifiable intangibles, net of accumulated amortization of $919 and $911</t>
  </si>
  <si>
    <t>Equity investments</t>
  </si>
  <si>
    <t>Other noncurrent assets</t>
  </si>
  <si>
    <t>Total noncurrent assets</t>
  </si>
  <si>
    <t>Total assets</t>
  </si>
  <si>
    <t>Current Liabilities:</t>
  </si>
  <si>
    <t>Current maturities of debt and finance leases</t>
  </si>
  <si>
    <t>Current maturities of operating leases</t>
  </si>
  <si>
    <t>Accounts payable</t>
  </si>
  <si>
    <t>Accrued salaries and related benefits</t>
  </si>
  <si>
    <t>Fuel card obligation</t>
  </si>
  <si>
    <t>Other accrued liabilities</t>
  </si>
  <si>
    <t>Noncurrent Liabilities:</t>
  </si>
  <si>
    <t>Debt and finance leases</t>
  </si>
  <si>
    <t>Pension, postretirement and related benefits</t>
  </si>
  <si>
    <t>Noncurrent operating leases</t>
  </si>
  <si>
    <t>Deferred income taxes, net</t>
  </si>
  <si>
    <t>Other noncurrent liabilities</t>
  </si>
  <si>
    <t>Total noncurrent liabilities</t>
  </si>
  <si>
    <t>Commitments and Contingencies</t>
  </si>
  <si>
    <t>Stockholders' Equity:</t>
  </si>
  <si>
    <t>Common stock at $0.0001 par value; 1,500,000,000 shares authorized, 654,571,606 and 654,671,194 shares issued</t>
  </si>
  <si>
    <t>Treasury stock, at cost, 8,098,971 and 11,224,246 shares</t>
  </si>
  <si>
    <t>Total stockholders' equity</t>
  </si>
  <si>
    <t>Total liabilities and stockholders' equity</t>
  </si>
  <si>
    <t>Consolidated Statements of Operations - USD ($)</t>
  </si>
  <si>
    <t>Operating Revenue:</t>
  </si>
  <si>
    <t>Total operating revenue</t>
  </si>
  <si>
    <t>Operating Expense:</t>
  </si>
  <si>
    <t>Salaries and related costs</t>
  </si>
  <si>
    <t>Aircraft fuel and related taxes</t>
  </si>
  <si>
    <t>Ancillary businesses and refinery</t>
  </si>
  <si>
    <t>Contracted services</t>
  </si>
  <si>
    <t>Landing fees and other rents</t>
  </si>
  <si>
    <t>Aircraft maintenance materials and outside repairs</t>
  </si>
  <si>
    <t>Depreciation and amortization</t>
  </si>
  <si>
    <t>Passenger commissions and other selling expenses</t>
  </si>
  <si>
    <t>Regional carrier expense</t>
  </si>
  <si>
    <t>Passenger service</t>
  </si>
  <si>
    <t>Profit sharing</t>
  </si>
  <si>
    <t>Aircraft rent</t>
  </si>
  <si>
    <t>Pilot agreement and related expenses</t>
  </si>
  <si>
    <t>Other</t>
  </si>
  <si>
    <t>Total operating expense</t>
  </si>
  <si>
    <t>Operating Income</t>
  </si>
  <si>
    <t>Non-Operating (Expense)/Income:</t>
  </si>
  <si>
    <t>Interest expense, net</t>
  </si>
  <si>
    <t>Gain/(loss) on investments, net</t>
  </si>
  <si>
    <t>Loss on extinguishment of debt</t>
  </si>
  <si>
    <t>Miscellaneous, net</t>
  </si>
  <si>
    <t>Total non-operating (expense)/income, net</t>
  </si>
  <si>
    <t>Income Before Income Taxes</t>
  </si>
  <si>
    <t>Income Tax Provision</t>
  </si>
  <si>
    <t>Net Income</t>
  </si>
  <si>
    <t>Basic Earnings Per Share (USD per share)</t>
  </si>
  <si>
    <t>Diluted Earnings Per Share (USD per share)</t>
  </si>
  <si>
    <t>Delta</t>
  </si>
  <si>
    <t>Consolidated Balance Sheets Delta Airlines- USD ($)</t>
  </si>
  <si>
    <t>Consolidated Statements of Operations Delta Airlines- USD ($)</t>
  </si>
  <si>
    <t>Dec. 31, 2022</t>
  </si>
  <si>
    <t>Current Ratio</t>
  </si>
  <si>
    <t>Current Assets / Current Liabilities</t>
  </si>
  <si>
    <t>Quick Ratio</t>
  </si>
  <si>
    <t>(Cash + Short Term investments + A/R) / Current Liabilities)</t>
  </si>
  <si>
    <r>
      <t>Net Sales/</t>
    </r>
    <r>
      <rPr>
        <sz val="11"/>
        <color rgb="FFFF0000"/>
        <rFont val="Aptos Narrow"/>
        <family val="2"/>
        <scheme val="minor"/>
      </rPr>
      <t xml:space="preserve">Average </t>
    </r>
    <r>
      <rPr>
        <sz val="11"/>
        <color theme="1"/>
        <rFont val="Aptos Narrow"/>
        <family val="2"/>
        <scheme val="minor"/>
      </rPr>
      <t>total assets</t>
    </r>
  </si>
  <si>
    <t>=(Net Sales/((Current year total assets-previous year total assets)/2))</t>
  </si>
  <si>
    <t>Accounts Receivable Turnover</t>
  </si>
  <si>
    <r>
      <t xml:space="preserve">Revenue / </t>
    </r>
    <r>
      <rPr>
        <sz val="11"/>
        <color rgb="FFFF0000"/>
        <rFont val="Aptos Narrow"/>
        <family val="2"/>
        <scheme val="minor"/>
      </rPr>
      <t>Average</t>
    </r>
    <r>
      <rPr>
        <sz val="11"/>
        <color theme="1"/>
        <rFont val="Aptos Narrow"/>
        <family val="2"/>
        <scheme val="minor"/>
      </rPr>
      <t xml:space="preserve"> Accounts Receivable</t>
    </r>
  </si>
  <si>
    <r>
      <t xml:space="preserve">Net Income/ </t>
    </r>
    <r>
      <rPr>
        <sz val="11"/>
        <color rgb="FFFF0000"/>
        <rFont val="Aptos Narrow"/>
        <family val="2"/>
        <scheme val="minor"/>
      </rPr>
      <t>Average</t>
    </r>
    <r>
      <rPr>
        <sz val="11"/>
        <color theme="1"/>
        <rFont val="Aptos Narrow"/>
        <family val="2"/>
        <scheme val="minor"/>
      </rPr>
      <t xml:space="preserve"> Total Assets</t>
    </r>
  </si>
  <si>
    <t>=(Net Income/((Current year total assets-previous year total assets)/2))</t>
  </si>
  <si>
    <r>
      <t>Net Income/</t>
    </r>
    <r>
      <rPr>
        <sz val="11"/>
        <color rgb="FFFF0000"/>
        <rFont val="Aptos Narrow"/>
        <family val="2"/>
        <scheme val="minor"/>
      </rPr>
      <t>Average</t>
    </r>
    <r>
      <rPr>
        <sz val="11"/>
        <color theme="1"/>
        <rFont val="Aptos Narrow"/>
        <family val="2"/>
        <scheme val="minor"/>
      </rPr>
      <t xml:space="preserve"> Total Equity</t>
    </r>
  </si>
  <si>
    <t>=(Net Income/((Current year total equity-previous year total equity)/2))</t>
  </si>
  <si>
    <t>United Airlines</t>
  </si>
  <si>
    <t xml:space="preserve">United Airlines </t>
  </si>
  <si>
    <t>3.13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</si>
</sst>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ACCFF"/>
        <bgColor indexed="64"/>
      </patternFill>
    </fill>
    <fill>
      <patternFill patternType="solid">
        <fgColor theme="7" tint="0.7999816888943144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AACCFF"/>
      </left>
      <right/>
      <top style="medium">
        <color rgb="FFAACCFF"/>
      </top>
      <bottom/>
      <diagonal/>
    </border>
    <border>
      <left/>
      <right/>
      <top style="medium">
        <color rgb="FFAACCFF"/>
      </top>
      <bottom/>
      <diagonal/>
    </border>
    <border>
      <left/>
      <right style="medium">
        <color rgb="FFAACCFF"/>
      </right>
      <top style="medium">
        <color rgb="FFAACCFF"/>
      </top>
      <bottom/>
      <diagonal/>
    </border>
    <border>
      <left style="medium">
        <color rgb="FFAACCFF"/>
      </left>
      <right/>
      <top/>
      <bottom/>
      <diagonal/>
    </border>
    <border>
      <left/>
      <right style="medium">
        <color rgb="FFAACCFF"/>
      </right>
      <top/>
      <bottom/>
      <diagonal/>
    </border>
    <border>
      <left/>
      <right style="medium">
        <color rgb="FFAACCFF"/>
      </right>
      <top/>
      <bottom style="medium">
        <color rgb="FF000000"/>
      </bottom>
      <diagonal/>
    </border>
    <border>
      <left/>
      <right/>
      <top/>
      <bottom style="medium">
        <color rgb="FFAACCFF"/>
      </bottom>
      <diagonal/>
    </border>
    <border>
      <left style="medium">
        <color rgb="FFAACC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67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Continuous" wrapText="1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2" xfId="0" applyBorder="1"/>
    <xf numFmtId="0" fontId="0" fillId="0" borderId="0" xfId="0" applyAlignment="1">
      <alignment horizontal="center"/>
    </xf>
    <xf numFmtId="2" fontId="3" fillId="0" borderId="12" xfId="0" applyNumberFormat="1" applyFont="1" applyBorder="1"/>
    <xf numFmtId="43" fontId="3" fillId="0" borderId="12" xfId="1" applyFont="1" applyBorder="1"/>
    <xf numFmtId="43" fontId="0" fillId="0" borderId="0" xfId="1" applyFont="1" applyBorder="1"/>
    <xf numFmtId="0" fontId="0" fillId="0" borderId="0" xfId="0" quotePrefix="1"/>
    <xf numFmtId="0" fontId="3" fillId="0" borderId="12" xfId="0" applyFont="1" applyBorder="1"/>
    <xf numFmtId="164" fontId="0" fillId="0" borderId="0" xfId="1" applyNumberFormat="1" applyFont="1" applyBorder="1"/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6" fontId="6" fillId="0" borderId="0" xfId="0" applyNumberFormat="1" applyFont="1" applyAlignment="1">
      <alignment horizontal="right" vertical="center" indent="2"/>
    </xf>
    <xf numFmtId="6" fontId="6" fillId="0" borderId="6" xfId="0" applyNumberFormat="1" applyFont="1" applyBorder="1" applyAlignment="1">
      <alignment horizontal="right" vertical="center" indent="2"/>
    </xf>
    <xf numFmtId="0" fontId="6" fillId="0" borderId="0" xfId="0" applyFont="1" applyAlignment="1">
      <alignment horizontal="right" vertical="center" indent="2"/>
    </xf>
    <xf numFmtId="3" fontId="6" fillId="0" borderId="6" xfId="0" applyNumberFormat="1" applyFont="1" applyBorder="1" applyAlignment="1">
      <alignment horizontal="right" vertical="center" indent="2"/>
    </xf>
    <xf numFmtId="3" fontId="6" fillId="0" borderId="0" xfId="0" applyNumberFormat="1" applyFont="1" applyAlignment="1">
      <alignment horizontal="right" vertical="center" indent="2"/>
    </xf>
    <xf numFmtId="3" fontId="6" fillId="0" borderId="1" xfId="0" applyNumberFormat="1" applyFont="1" applyBorder="1" applyAlignment="1">
      <alignment horizontal="right" vertical="center" indent="2"/>
    </xf>
    <xf numFmtId="3" fontId="6" fillId="0" borderId="7" xfId="0" applyNumberFormat="1" applyFont="1" applyBorder="1" applyAlignment="1">
      <alignment horizontal="right" vertical="center" indent="2"/>
    </xf>
    <xf numFmtId="0" fontId="6" fillId="0" borderId="6" xfId="0" applyFont="1" applyBorder="1" applyAlignment="1">
      <alignment horizontal="right" vertical="center" indent="2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right" vertical="center" indent="2"/>
    </xf>
    <xf numFmtId="6" fontId="6" fillId="0" borderId="1" xfId="0" applyNumberFormat="1" applyFont="1" applyBorder="1" applyAlignment="1">
      <alignment horizontal="right" vertical="center" indent="2"/>
    </xf>
    <xf numFmtId="8" fontId="6" fillId="0" borderId="0" xfId="0" applyNumberFormat="1" applyFont="1" applyAlignment="1">
      <alignment horizontal="right" vertical="center" indent="2"/>
    </xf>
    <xf numFmtId="6" fontId="6" fillId="0" borderId="8" xfId="0" applyNumberFormat="1" applyFont="1" applyBorder="1" applyAlignment="1">
      <alignment horizontal="right" vertical="center" indent="2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6" fontId="6" fillId="0" borderId="1" xfId="0" applyNumberFormat="1" applyFont="1" applyBorder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6" fontId="0" fillId="0" borderId="0" xfId="0" applyNumberFormat="1"/>
    <xf numFmtId="165" fontId="0" fillId="0" borderId="0" xfId="0" applyNumberFormat="1"/>
    <xf numFmtId="3" fontId="8" fillId="3" borderId="1" xfId="2" applyNumberFormat="1" applyFont="1" applyBorder="1" applyAlignment="1">
      <alignment horizontal="right" vertical="center" indent="2"/>
    </xf>
    <xf numFmtId="3" fontId="8" fillId="3" borderId="7" xfId="2" applyNumberFormat="1" applyFont="1" applyBorder="1" applyAlignment="1">
      <alignment horizontal="right" vertical="center" indent="2"/>
    </xf>
    <xf numFmtId="0" fontId="2" fillId="3" borderId="0" xfId="2" applyFont="1"/>
    <xf numFmtId="165" fontId="9" fillId="0" borderId="0" xfId="0" applyNumberFormat="1" applyFont="1" applyAlignment="1">
      <alignment horizontal="right" vertical="center" indent="2"/>
    </xf>
    <xf numFmtId="0" fontId="4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0" fillId="0" borderId="11" xfId="0" applyNumberFormat="1" applyBorder="1"/>
    <xf numFmtId="2" fontId="0" fillId="0" borderId="0" xfId="0" applyNumberFormat="1"/>
    <xf numFmtId="2" fontId="0" fillId="0" borderId="0" xfId="1" applyNumberFormat="1" applyFont="1" applyBorder="1"/>
  </cellXfs>
  <cellStyles count="3">
    <cellStyle name="20% - Accent4" xfId="2" builtinId="42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051F-A43C-4A22-926E-AD6EC3689260}">
  <dimension ref="A1:K42"/>
  <sheetViews>
    <sheetView topLeftCell="A3" zoomScale="91" workbookViewId="0">
      <selection activeCell="G44" sqref="G44"/>
    </sheetView>
  </sheetViews>
  <sheetFormatPr baseColWidth="10" defaultColWidth="8.83203125" defaultRowHeight="15" x14ac:dyDescent="0.2"/>
  <cols>
    <col min="1" max="1" width="70.1640625" bestFit="1" customWidth="1"/>
    <col min="2" max="3" width="10.1640625" bestFit="1" customWidth="1"/>
    <col min="7" max="7" width="59.1640625" bestFit="1" customWidth="1"/>
    <col min="8" max="9" width="10.1640625" bestFit="1" customWidth="1"/>
    <col min="10" max="10" width="10.1640625" customWidth="1"/>
  </cols>
  <sheetData>
    <row r="1" spans="1:11" ht="14.5" customHeight="1" x14ac:dyDescent="0.2">
      <c r="A1" s="2" t="s">
        <v>97</v>
      </c>
      <c r="B1" s="56" t="s">
        <v>1</v>
      </c>
      <c r="C1" s="58" t="s">
        <v>2</v>
      </c>
      <c r="D1" s="60" t="s">
        <v>9</v>
      </c>
      <c r="E1" s="54" t="s">
        <v>10</v>
      </c>
      <c r="G1" s="2" t="s">
        <v>98</v>
      </c>
      <c r="H1" s="56" t="s">
        <v>0</v>
      </c>
      <c r="I1" s="56"/>
      <c r="J1" s="60" t="s">
        <v>9</v>
      </c>
      <c r="K1" s="54" t="s">
        <v>10</v>
      </c>
    </row>
    <row r="2" spans="1:11" x14ac:dyDescent="0.2">
      <c r="A2" s="3" t="s">
        <v>3</v>
      </c>
      <c r="B2" s="57"/>
      <c r="C2" s="59"/>
      <c r="D2" s="61"/>
      <c r="E2" s="55"/>
      <c r="G2" s="3" t="s">
        <v>3</v>
      </c>
      <c r="H2" s="1" t="s">
        <v>1</v>
      </c>
      <c r="I2" s="1" t="s">
        <v>2</v>
      </c>
      <c r="J2" s="61"/>
      <c r="K2" s="55"/>
    </row>
    <row r="3" spans="1:11" x14ac:dyDescent="0.2">
      <c r="A3" t="s">
        <v>30</v>
      </c>
      <c r="B3" s="26"/>
      <c r="C3" s="27"/>
      <c r="G3" t="s">
        <v>66</v>
      </c>
      <c r="H3" s="26"/>
      <c r="I3" s="26"/>
      <c r="J3" s="26"/>
    </row>
    <row r="4" spans="1:11" x14ac:dyDescent="0.2">
      <c r="A4" t="s">
        <v>31</v>
      </c>
      <c r="B4" s="28">
        <v>3069</v>
      </c>
      <c r="C4" s="29">
        <v>2741</v>
      </c>
      <c r="D4" s="48">
        <f>B4-C4</f>
        <v>328</v>
      </c>
      <c r="E4" s="49">
        <f>D4/C4</f>
        <v>0.1196643560744254</v>
      </c>
      <c r="G4" t="s">
        <v>67</v>
      </c>
      <c r="H4" s="28">
        <v>61643</v>
      </c>
      <c r="I4" s="28">
        <v>58048</v>
      </c>
      <c r="J4" s="28">
        <f>H4-I4</f>
        <v>3595</v>
      </c>
      <c r="K4" s="49">
        <f>J4/I4</f>
        <v>6.1931504961411248E-2</v>
      </c>
    </row>
    <row r="5" spans="1:11" x14ac:dyDescent="0.2">
      <c r="A5" t="s">
        <v>32</v>
      </c>
      <c r="B5" s="30">
        <v>0</v>
      </c>
      <c r="C5" s="31">
        <v>1127</v>
      </c>
      <c r="D5" s="48">
        <f t="shared" ref="D5:D42" si="0">B5-C5</f>
        <v>-1127</v>
      </c>
      <c r="E5" s="49">
        <f t="shared" ref="E5:E42" si="1">D5/C5</f>
        <v>-1</v>
      </c>
      <c r="G5" t="s">
        <v>68</v>
      </c>
      <c r="H5" s="26"/>
      <c r="I5" s="26"/>
      <c r="J5" s="28"/>
      <c r="K5" s="49"/>
    </row>
    <row r="6" spans="1:11" x14ac:dyDescent="0.2">
      <c r="A6" t="s">
        <v>33</v>
      </c>
      <c r="B6" s="32">
        <v>3224</v>
      </c>
      <c r="C6" s="31">
        <v>3130</v>
      </c>
      <c r="D6" s="48">
        <f t="shared" si="0"/>
        <v>94</v>
      </c>
      <c r="E6" s="49">
        <f t="shared" si="1"/>
        <v>3.0031948881789138E-2</v>
      </c>
      <c r="G6" t="s">
        <v>69</v>
      </c>
      <c r="H6" s="32">
        <v>16161</v>
      </c>
      <c r="I6" s="32">
        <v>14607</v>
      </c>
      <c r="J6" s="28">
        <f t="shared" ref="J6:J32" si="2">H6-I6</f>
        <v>1554</v>
      </c>
      <c r="K6" s="49">
        <f t="shared" ref="K6:K32" si="3">J6/I6</f>
        <v>0.10638734853152598</v>
      </c>
    </row>
    <row r="7" spans="1:11" x14ac:dyDescent="0.2">
      <c r="A7" t="s">
        <v>34</v>
      </c>
      <c r="B7" s="32">
        <v>1428</v>
      </c>
      <c r="C7" s="31">
        <v>1314</v>
      </c>
      <c r="D7" s="48">
        <f t="shared" si="0"/>
        <v>114</v>
      </c>
      <c r="E7" s="49">
        <f t="shared" si="1"/>
        <v>8.6757990867579904E-2</v>
      </c>
      <c r="G7" t="s">
        <v>70</v>
      </c>
      <c r="H7" s="32">
        <v>10566</v>
      </c>
      <c r="I7" s="32">
        <v>11069</v>
      </c>
      <c r="J7" s="28">
        <f t="shared" si="2"/>
        <v>-503</v>
      </c>
      <c r="K7" s="49">
        <f t="shared" si="3"/>
        <v>-4.5442226036679016E-2</v>
      </c>
    </row>
    <row r="8" spans="1:11" x14ac:dyDescent="0.2">
      <c r="A8" t="s">
        <v>35</v>
      </c>
      <c r="B8" s="32">
        <v>2123</v>
      </c>
      <c r="C8" s="31">
        <v>1957</v>
      </c>
      <c r="D8" s="48">
        <f t="shared" si="0"/>
        <v>166</v>
      </c>
      <c r="E8" s="49">
        <f t="shared" si="1"/>
        <v>8.4823709759836483E-2</v>
      </c>
      <c r="G8" t="s">
        <v>71</v>
      </c>
      <c r="H8" s="32">
        <v>5416</v>
      </c>
      <c r="I8" s="32">
        <v>4172</v>
      </c>
      <c r="J8" s="28">
        <f t="shared" si="2"/>
        <v>1244</v>
      </c>
      <c r="K8" s="49">
        <f t="shared" si="3"/>
        <v>0.29817833173537872</v>
      </c>
    </row>
    <row r="9" spans="1:11" ht="16" thickBot="1" x14ac:dyDescent="0.25">
      <c r="A9" t="s">
        <v>4</v>
      </c>
      <c r="B9" s="33">
        <v>9844</v>
      </c>
      <c r="C9" s="34">
        <v>10269</v>
      </c>
      <c r="D9" s="48">
        <f t="shared" si="0"/>
        <v>-425</v>
      </c>
      <c r="E9" s="49">
        <f t="shared" si="1"/>
        <v>-4.1386697828415621E-2</v>
      </c>
      <c r="G9" t="s">
        <v>72</v>
      </c>
      <c r="H9" s="32">
        <v>4228</v>
      </c>
      <c r="I9" s="32">
        <v>4041</v>
      </c>
      <c r="J9" s="28">
        <f t="shared" si="2"/>
        <v>187</v>
      </c>
      <c r="K9" s="49">
        <f t="shared" si="3"/>
        <v>4.6275674338035137E-2</v>
      </c>
    </row>
    <row r="10" spans="1:11" x14ac:dyDescent="0.2">
      <c r="A10" t="s">
        <v>36</v>
      </c>
      <c r="B10" s="26"/>
      <c r="C10" s="27"/>
      <c r="D10" s="48"/>
      <c r="E10" s="49"/>
      <c r="G10" t="s">
        <v>73</v>
      </c>
      <c r="H10" s="32">
        <v>3150</v>
      </c>
      <c r="I10" s="32">
        <v>2563</v>
      </c>
      <c r="J10" s="28">
        <f t="shared" si="2"/>
        <v>587</v>
      </c>
      <c r="K10" s="49">
        <f t="shared" si="3"/>
        <v>0.22902848224736636</v>
      </c>
    </row>
    <row r="11" spans="1:11" x14ac:dyDescent="0.2">
      <c r="A11" t="s">
        <v>37</v>
      </c>
      <c r="B11" s="32">
        <v>37595</v>
      </c>
      <c r="C11" s="31">
        <v>35486</v>
      </c>
      <c r="D11" s="48">
        <f t="shared" si="0"/>
        <v>2109</v>
      </c>
      <c r="E11" s="49">
        <f t="shared" si="1"/>
        <v>5.9431888632136616E-2</v>
      </c>
      <c r="G11" t="s">
        <v>74</v>
      </c>
      <c r="H11" s="32">
        <v>2616</v>
      </c>
      <c r="I11" s="32">
        <v>2432</v>
      </c>
      <c r="J11" s="28">
        <f t="shared" si="2"/>
        <v>184</v>
      </c>
      <c r="K11" s="49">
        <f t="shared" si="3"/>
        <v>7.5657894736842105E-2</v>
      </c>
    </row>
    <row r="12" spans="1:11" x14ac:dyDescent="0.2">
      <c r="A12" t="s">
        <v>38</v>
      </c>
      <c r="B12" s="32">
        <v>6644</v>
      </c>
      <c r="C12" s="31">
        <v>7004</v>
      </c>
      <c r="D12" s="48">
        <f t="shared" si="0"/>
        <v>-360</v>
      </c>
      <c r="E12" s="49">
        <f t="shared" si="1"/>
        <v>-5.1399200456881781E-2</v>
      </c>
      <c r="G12" t="s">
        <v>75</v>
      </c>
      <c r="H12" s="32">
        <v>2513</v>
      </c>
      <c r="I12" s="32">
        <v>2341</v>
      </c>
      <c r="J12" s="28">
        <f t="shared" si="2"/>
        <v>172</v>
      </c>
      <c r="K12" s="49">
        <f t="shared" si="3"/>
        <v>7.3472874839812047E-2</v>
      </c>
    </row>
    <row r="13" spans="1:11" x14ac:dyDescent="0.2">
      <c r="A13" t="s">
        <v>39</v>
      </c>
      <c r="B13" s="32">
        <v>9753</v>
      </c>
      <c r="C13" s="31">
        <v>9753</v>
      </c>
      <c r="D13" s="48">
        <f t="shared" si="0"/>
        <v>0</v>
      </c>
      <c r="E13" s="49">
        <f t="shared" si="1"/>
        <v>0</v>
      </c>
      <c r="G13" t="s">
        <v>76</v>
      </c>
      <c r="H13" s="32">
        <v>2485</v>
      </c>
      <c r="I13" s="32">
        <v>2334</v>
      </c>
      <c r="J13" s="28">
        <f t="shared" si="2"/>
        <v>151</v>
      </c>
      <c r="K13" s="49">
        <f t="shared" si="3"/>
        <v>6.4695801199657246E-2</v>
      </c>
    </row>
    <row r="14" spans="1:11" x14ac:dyDescent="0.2">
      <c r="A14" t="s">
        <v>40</v>
      </c>
      <c r="B14" s="32">
        <v>5975</v>
      </c>
      <c r="C14" s="31">
        <v>5983</v>
      </c>
      <c r="D14" s="48">
        <f t="shared" si="0"/>
        <v>-8</v>
      </c>
      <c r="E14" s="49">
        <f t="shared" si="1"/>
        <v>-1.3371218452281465E-3</v>
      </c>
      <c r="G14" t="s">
        <v>77</v>
      </c>
      <c r="H14" s="32">
        <v>2328</v>
      </c>
      <c r="I14" s="32">
        <v>2200</v>
      </c>
      <c r="J14" s="28">
        <f t="shared" si="2"/>
        <v>128</v>
      </c>
      <c r="K14" s="49">
        <f t="shared" si="3"/>
        <v>5.8181818181818182E-2</v>
      </c>
    </row>
    <row r="15" spans="1:11" x14ac:dyDescent="0.2">
      <c r="A15" t="s">
        <v>41</v>
      </c>
      <c r="B15" s="32">
        <v>2846</v>
      </c>
      <c r="C15" s="31">
        <v>3457</v>
      </c>
      <c r="D15" s="48">
        <f t="shared" si="0"/>
        <v>-611</v>
      </c>
      <c r="E15" s="49">
        <f t="shared" si="1"/>
        <v>-0.17674284061324849</v>
      </c>
      <c r="G15" t="s">
        <v>78</v>
      </c>
      <c r="H15" s="32">
        <v>1788</v>
      </c>
      <c r="I15" s="32">
        <v>1750</v>
      </c>
      <c r="J15" s="28">
        <f t="shared" si="2"/>
        <v>38</v>
      </c>
      <c r="K15" s="49">
        <f t="shared" si="3"/>
        <v>2.1714285714285714E-2</v>
      </c>
    </row>
    <row r="16" spans="1:11" x14ac:dyDescent="0.2">
      <c r="A16" t="s">
        <v>42</v>
      </c>
      <c r="B16" s="32">
        <v>2715</v>
      </c>
      <c r="C16" s="31">
        <v>1692</v>
      </c>
      <c r="D16" s="48">
        <f t="shared" si="0"/>
        <v>1023</v>
      </c>
      <c r="E16" s="49">
        <f t="shared" si="1"/>
        <v>0.60460992907801414</v>
      </c>
      <c r="G16" t="s">
        <v>79</v>
      </c>
      <c r="H16" s="32">
        <v>1389</v>
      </c>
      <c r="I16" s="32">
        <v>1383</v>
      </c>
      <c r="J16" s="28">
        <f t="shared" si="2"/>
        <v>6</v>
      </c>
      <c r="K16" s="49">
        <f t="shared" si="3"/>
        <v>4.3383947939262474E-3</v>
      </c>
    </row>
    <row r="17" spans="1:11" ht="16" thickBot="1" x14ac:dyDescent="0.25">
      <c r="A17" t="s">
        <v>43</v>
      </c>
      <c r="B17" s="33">
        <v>65528</v>
      </c>
      <c r="C17" s="34">
        <v>63375</v>
      </c>
      <c r="D17" s="48">
        <f t="shared" si="0"/>
        <v>2153</v>
      </c>
      <c r="E17" s="49">
        <f t="shared" si="1"/>
        <v>3.39723865877712E-2</v>
      </c>
      <c r="G17" t="s">
        <v>80</v>
      </c>
      <c r="H17" s="30">
        <v>548</v>
      </c>
      <c r="I17" s="30">
        <v>532</v>
      </c>
      <c r="J17" s="28">
        <f t="shared" si="2"/>
        <v>16</v>
      </c>
      <c r="K17" s="49">
        <f t="shared" si="3"/>
        <v>3.007518796992481E-2</v>
      </c>
    </row>
    <row r="18" spans="1:11" ht="16" thickBot="1" x14ac:dyDescent="0.25">
      <c r="A18" t="s">
        <v>44</v>
      </c>
      <c r="B18" s="33">
        <v>75372</v>
      </c>
      <c r="C18" s="34">
        <v>73644</v>
      </c>
      <c r="D18" s="48">
        <f t="shared" si="0"/>
        <v>1728</v>
      </c>
      <c r="E18" s="49">
        <f t="shared" si="1"/>
        <v>2.3464233338764868E-2</v>
      </c>
      <c r="G18" t="s">
        <v>81</v>
      </c>
      <c r="H18" s="30">
        <v>0</v>
      </c>
      <c r="I18" s="30">
        <v>864</v>
      </c>
      <c r="J18" s="28">
        <f t="shared" si="2"/>
        <v>-864</v>
      </c>
      <c r="K18" s="49">
        <f t="shared" si="3"/>
        <v>-1</v>
      </c>
    </row>
    <row r="19" spans="1:11" x14ac:dyDescent="0.2">
      <c r="A19" t="s">
        <v>45</v>
      </c>
      <c r="B19" s="26"/>
      <c r="C19" s="27"/>
      <c r="D19" s="48"/>
      <c r="E19" s="49"/>
      <c r="G19" t="s">
        <v>82</v>
      </c>
      <c r="H19" s="32">
        <v>2460</v>
      </c>
      <c r="I19" s="32">
        <v>2239</v>
      </c>
      <c r="J19" s="28">
        <f t="shared" si="2"/>
        <v>221</v>
      </c>
      <c r="K19" s="49">
        <f t="shared" si="3"/>
        <v>9.8704778919160338E-2</v>
      </c>
    </row>
    <row r="20" spans="1:11" ht="16" thickBot="1" x14ac:dyDescent="0.25">
      <c r="A20" t="s">
        <v>46</v>
      </c>
      <c r="B20" s="32">
        <v>2175</v>
      </c>
      <c r="C20" s="31">
        <v>2983</v>
      </c>
      <c r="D20" s="48">
        <f t="shared" si="0"/>
        <v>-808</v>
      </c>
      <c r="E20" s="49">
        <f t="shared" si="1"/>
        <v>-0.27086825343613813</v>
      </c>
      <c r="G20" t="s">
        <v>83</v>
      </c>
      <c r="H20" s="33">
        <v>55648</v>
      </c>
      <c r="I20" s="33">
        <v>52527</v>
      </c>
      <c r="J20" s="28">
        <f t="shared" si="2"/>
        <v>3121</v>
      </c>
      <c r="K20" s="49">
        <f t="shared" si="3"/>
        <v>5.9417061701601083E-2</v>
      </c>
    </row>
    <row r="21" spans="1:11" ht="16" thickBot="1" x14ac:dyDescent="0.25">
      <c r="A21" t="s">
        <v>47</v>
      </c>
      <c r="B21" s="30">
        <v>763</v>
      </c>
      <c r="C21" s="35">
        <v>759</v>
      </c>
      <c r="D21" s="48">
        <f t="shared" si="0"/>
        <v>4</v>
      </c>
      <c r="E21" s="49">
        <f t="shared" si="1"/>
        <v>5.270092226613966E-3</v>
      </c>
      <c r="G21" t="s">
        <v>84</v>
      </c>
      <c r="H21" s="33">
        <v>5995</v>
      </c>
      <c r="I21" s="33">
        <v>5521</v>
      </c>
      <c r="J21" s="28">
        <f t="shared" si="2"/>
        <v>474</v>
      </c>
      <c r="K21" s="49">
        <f t="shared" si="3"/>
        <v>8.5854011954356088E-2</v>
      </c>
    </row>
    <row r="22" spans="1:11" x14ac:dyDescent="0.2">
      <c r="A22" t="s">
        <v>48</v>
      </c>
      <c r="B22" s="32">
        <v>4650</v>
      </c>
      <c r="C22" s="31">
        <v>4446</v>
      </c>
      <c r="D22" s="48">
        <f t="shared" si="0"/>
        <v>204</v>
      </c>
      <c r="E22" s="49">
        <f t="shared" si="1"/>
        <v>4.5883940620782729E-2</v>
      </c>
      <c r="G22" t="s">
        <v>85</v>
      </c>
      <c r="H22" s="26"/>
      <c r="I22" s="26"/>
      <c r="J22" s="28"/>
      <c r="K22" s="49"/>
    </row>
    <row r="23" spans="1:11" x14ac:dyDescent="0.2">
      <c r="A23" t="s">
        <v>49</v>
      </c>
      <c r="B23" s="32">
        <v>4762</v>
      </c>
      <c r="C23" s="31">
        <v>4561</v>
      </c>
      <c r="D23" s="48">
        <f t="shared" si="0"/>
        <v>201</v>
      </c>
      <c r="E23" s="49">
        <f t="shared" si="1"/>
        <v>4.4069283051962289E-2</v>
      </c>
      <c r="G23" t="s">
        <v>86</v>
      </c>
      <c r="H23" s="7">
        <v>-747</v>
      </c>
      <c r="I23" s="7">
        <v>-834</v>
      </c>
      <c r="J23" s="28">
        <f t="shared" si="2"/>
        <v>87</v>
      </c>
      <c r="K23" s="49">
        <f t="shared" si="3"/>
        <v>-0.10431654676258993</v>
      </c>
    </row>
    <row r="24" spans="1:11" x14ac:dyDescent="0.2">
      <c r="A24" t="s">
        <v>50</v>
      </c>
      <c r="B24" s="32">
        <v>1100</v>
      </c>
      <c r="C24" s="31">
        <v>1100</v>
      </c>
      <c r="D24" s="48">
        <f t="shared" si="0"/>
        <v>0</v>
      </c>
      <c r="E24" s="49">
        <f t="shared" si="1"/>
        <v>0</v>
      </c>
      <c r="G24" t="s">
        <v>87</v>
      </c>
      <c r="H24" s="7">
        <v>-319</v>
      </c>
      <c r="I24" s="32">
        <v>1263</v>
      </c>
      <c r="J24" s="28">
        <f t="shared" si="2"/>
        <v>-1582</v>
      </c>
      <c r="K24" s="49">
        <f t="shared" si="3"/>
        <v>-1.2525732383214569</v>
      </c>
    </row>
    <row r="25" spans="1:11" x14ac:dyDescent="0.2">
      <c r="A25" t="s">
        <v>51</v>
      </c>
      <c r="B25" s="32">
        <v>1812</v>
      </c>
      <c r="C25" s="31">
        <v>1617</v>
      </c>
      <c r="D25" s="48">
        <f t="shared" si="0"/>
        <v>195</v>
      </c>
      <c r="E25" s="49">
        <f t="shared" si="1"/>
        <v>0.12059369202226346</v>
      </c>
      <c r="G25" t="s">
        <v>88</v>
      </c>
      <c r="H25" s="7">
        <v>-39</v>
      </c>
      <c r="I25" s="7">
        <v>-63</v>
      </c>
      <c r="J25" s="28">
        <f t="shared" si="2"/>
        <v>24</v>
      </c>
      <c r="K25" s="49">
        <f t="shared" si="3"/>
        <v>-0.38095238095238093</v>
      </c>
    </row>
    <row r="26" spans="1:11" ht="16" thickBot="1" x14ac:dyDescent="0.25">
      <c r="A26" t="s">
        <v>5</v>
      </c>
      <c r="B26" s="33">
        <v>26670</v>
      </c>
      <c r="C26" s="34">
        <v>26418</v>
      </c>
      <c r="D26" s="48">
        <f t="shared" si="0"/>
        <v>252</v>
      </c>
      <c r="E26" s="49">
        <f t="shared" si="1"/>
        <v>9.538950715421303E-3</v>
      </c>
      <c r="G26" t="s">
        <v>89</v>
      </c>
      <c r="H26" s="7">
        <v>-232</v>
      </c>
      <c r="I26" s="7">
        <v>-279</v>
      </c>
      <c r="J26" s="28">
        <f t="shared" si="2"/>
        <v>47</v>
      </c>
      <c r="K26" s="49">
        <f t="shared" si="3"/>
        <v>-0.16845878136200718</v>
      </c>
    </row>
    <row r="27" spans="1:11" ht="16" thickBot="1" x14ac:dyDescent="0.25">
      <c r="A27" t="s">
        <v>52</v>
      </c>
      <c r="B27" s="26"/>
      <c r="C27" s="27"/>
      <c r="D27" s="48"/>
      <c r="E27" s="49"/>
      <c r="G27" t="s">
        <v>90</v>
      </c>
      <c r="H27" s="6">
        <v>-1337</v>
      </c>
      <c r="I27" s="37">
        <v>87</v>
      </c>
      <c r="J27" s="28">
        <f t="shared" si="2"/>
        <v>-1424</v>
      </c>
      <c r="K27" s="49">
        <f t="shared" si="3"/>
        <v>-16.367816091954023</v>
      </c>
    </row>
    <row r="28" spans="1:11" ht="16" thickBot="1" x14ac:dyDescent="0.25">
      <c r="A28" t="s">
        <v>53</v>
      </c>
      <c r="B28" s="32">
        <v>14019</v>
      </c>
      <c r="C28" s="31">
        <v>17071</v>
      </c>
      <c r="D28" s="48">
        <f t="shared" si="0"/>
        <v>-3052</v>
      </c>
      <c r="E28" s="49">
        <f t="shared" si="1"/>
        <v>-0.17878273094722044</v>
      </c>
      <c r="G28" t="s">
        <v>91</v>
      </c>
      <c r="H28" s="33">
        <v>4658</v>
      </c>
      <c r="I28" s="33">
        <v>5608</v>
      </c>
      <c r="J28" s="28">
        <f t="shared" si="2"/>
        <v>-950</v>
      </c>
      <c r="K28" s="49">
        <f t="shared" si="3"/>
        <v>-0.16940085592011411</v>
      </c>
    </row>
    <row r="29" spans="1:11" x14ac:dyDescent="0.2">
      <c r="A29" t="s">
        <v>54</v>
      </c>
      <c r="B29" s="32">
        <v>3144</v>
      </c>
      <c r="C29" s="31">
        <v>3601</v>
      </c>
      <c r="D29" s="48">
        <f t="shared" si="0"/>
        <v>-457</v>
      </c>
      <c r="E29" s="49">
        <f t="shared" si="1"/>
        <v>-0.12690919189114136</v>
      </c>
      <c r="G29" t="s">
        <v>92</v>
      </c>
      <c r="H29" s="4">
        <v>-1201</v>
      </c>
      <c r="I29" s="7">
        <v>-999</v>
      </c>
      <c r="J29" s="28">
        <f t="shared" si="2"/>
        <v>-202</v>
      </c>
      <c r="K29" s="49">
        <f t="shared" si="3"/>
        <v>0.2022022022022022</v>
      </c>
    </row>
    <row r="30" spans="1:11" ht="16" thickBot="1" x14ac:dyDescent="0.25">
      <c r="A30" t="s">
        <v>55</v>
      </c>
      <c r="B30" s="32">
        <v>5814</v>
      </c>
      <c r="C30" s="31">
        <v>6468</v>
      </c>
      <c r="D30" s="48">
        <f t="shared" si="0"/>
        <v>-654</v>
      </c>
      <c r="E30" s="49">
        <f t="shared" si="1"/>
        <v>-0.10111317254174397</v>
      </c>
      <c r="G30" t="s">
        <v>93</v>
      </c>
      <c r="H30" s="38">
        <v>3457</v>
      </c>
      <c r="I30" s="38">
        <v>4609</v>
      </c>
      <c r="J30" s="28">
        <f t="shared" si="2"/>
        <v>-1152</v>
      </c>
      <c r="K30" s="49">
        <f t="shared" si="3"/>
        <v>-0.24994575829898025</v>
      </c>
    </row>
    <row r="31" spans="1:11" x14ac:dyDescent="0.2">
      <c r="A31" t="s">
        <v>56</v>
      </c>
      <c r="B31" s="32">
        <v>2176</v>
      </c>
      <c r="C31" s="35">
        <v>908</v>
      </c>
      <c r="D31" s="48">
        <f t="shared" si="0"/>
        <v>1268</v>
      </c>
      <c r="E31" s="49">
        <f t="shared" si="1"/>
        <v>1.3964757709251101</v>
      </c>
      <c r="G31" t="s">
        <v>94</v>
      </c>
      <c r="H31" s="39">
        <v>5.39</v>
      </c>
      <c r="I31" s="39">
        <v>7.21</v>
      </c>
      <c r="J31" s="28">
        <f t="shared" si="2"/>
        <v>-1.8200000000000003</v>
      </c>
      <c r="K31" s="49">
        <f t="shared" si="3"/>
        <v>-0.25242718446601947</v>
      </c>
    </row>
    <row r="32" spans="1:11" x14ac:dyDescent="0.2">
      <c r="A32" t="s">
        <v>57</v>
      </c>
      <c r="B32" s="32">
        <v>3744</v>
      </c>
      <c r="C32" s="31">
        <v>3561</v>
      </c>
      <c r="D32" s="48">
        <f t="shared" si="0"/>
        <v>183</v>
      </c>
      <c r="E32" s="49">
        <f t="shared" si="1"/>
        <v>5.1390058972198824E-2</v>
      </c>
      <c r="G32" t="s">
        <v>95</v>
      </c>
      <c r="H32" s="39">
        <v>5.33</v>
      </c>
      <c r="I32" s="39">
        <v>7.17</v>
      </c>
      <c r="J32" s="28">
        <f t="shared" si="2"/>
        <v>-1.8399999999999999</v>
      </c>
      <c r="K32" s="49">
        <f t="shared" si="3"/>
        <v>-0.25662482566248257</v>
      </c>
    </row>
    <row r="33" spans="1:10" ht="16" thickBot="1" x14ac:dyDescent="0.25">
      <c r="A33" t="s">
        <v>58</v>
      </c>
      <c r="B33" s="33">
        <v>33409</v>
      </c>
      <c r="C33" s="34">
        <v>36121</v>
      </c>
      <c r="D33" s="48">
        <f t="shared" si="0"/>
        <v>-2712</v>
      </c>
      <c r="E33" s="49">
        <f t="shared" si="1"/>
        <v>-7.5080977824534198E-2</v>
      </c>
      <c r="H33" s="36"/>
      <c r="I33" s="36"/>
      <c r="J33" s="36"/>
    </row>
    <row r="34" spans="1:10" x14ac:dyDescent="0.2">
      <c r="A34" t="s">
        <v>59</v>
      </c>
      <c r="B34" s="26"/>
      <c r="C34" s="27"/>
      <c r="D34" s="48"/>
      <c r="E34" s="49"/>
      <c r="H34" s="26"/>
      <c r="I34" s="26"/>
      <c r="J34" s="26"/>
    </row>
    <row r="35" spans="1:10" x14ac:dyDescent="0.2">
      <c r="A35" t="s">
        <v>60</v>
      </c>
      <c r="B35" s="26"/>
      <c r="C35" s="27"/>
      <c r="D35" s="48"/>
      <c r="E35" s="49"/>
      <c r="H35" s="28"/>
      <c r="I35" s="28"/>
      <c r="J35" s="28"/>
    </row>
    <row r="36" spans="1:10" x14ac:dyDescent="0.2">
      <c r="A36" t="s">
        <v>61</v>
      </c>
      <c r="B36" s="30">
        <v>0</v>
      </c>
      <c r="C36" s="35">
        <v>0</v>
      </c>
      <c r="D36" s="48">
        <f t="shared" si="0"/>
        <v>0</v>
      </c>
      <c r="E36" s="49"/>
      <c r="H36" s="36"/>
      <c r="I36" s="36"/>
      <c r="J36" s="36"/>
    </row>
    <row r="37" spans="1:10" x14ac:dyDescent="0.2">
      <c r="A37" t="s">
        <v>6</v>
      </c>
      <c r="B37" s="32">
        <v>11740</v>
      </c>
      <c r="C37" s="31">
        <v>11641</v>
      </c>
      <c r="D37" s="48">
        <f t="shared" si="0"/>
        <v>99</v>
      </c>
      <c r="E37" s="49">
        <f t="shared" si="1"/>
        <v>8.5044240185551071E-3</v>
      </c>
      <c r="H37" s="26"/>
      <c r="I37" s="26"/>
      <c r="J37" s="26"/>
    </row>
    <row r="38" spans="1:10" x14ac:dyDescent="0.2">
      <c r="A38" t="s">
        <v>7</v>
      </c>
      <c r="B38" s="32">
        <v>8783</v>
      </c>
      <c r="C38" s="31">
        <v>5650</v>
      </c>
      <c r="D38" s="48">
        <f t="shared" si="0"/>
        <v>3133</v>
      </c>
      <c r="E38" s="49">
        <f t="shared" si="1"/>
        <v>0.55451327433628317</v>
      </c>
      <c r="H38" s="30"/>
      <c r="I38" s="30"/>
      <c r="J38" s="30"/>
    </row>
    <row r="39" spans="1:10" x14ac:dyDescent="0.2">
      <c r="A39" t="s">
        <v>8</v>
      </c>
      <c r="B39" s="4">
        <v>-4979</v>
      </c>
      <c r="C39" s="5">
        <v>-5845</v>
      </c>
      <c r="D39" s="48">
        <f t="shared" si="0"/>
        <v>866</v>
      </c>
      <c r="E39" s="49">
        <f t="shared" si="1"/>
        <v>-0.14816082121471344</v>
      </c>
      <c r="H39" s="36"/>
      <c r="I39" s="36"/>
      <c r="J39" s="36"/>
    </row>
    <row r="40" spans="1:10" x14ac:dyDescent="0.2">
      <c r="A40" t="s">
        <v>62</v>
      </c>
      <c r="B40" s="7">
        <v>-251</v>
      </c>
      <c r="C40" s="8">
        <v>-341</v>
      </c>
      <c r="D40" s="48">
        <f t="shared" si="0"/>
        <v>90</v>
      </c>
      <c r="E40" s="49">
        <f t="shared" si="1"/>
        <v>-0.26392961876832843</v>
      </c>
      <c r="H40" s="26"/>
      <c r="I40" s="26"/>
      <c r="J40" s="26"/>
    </row>
    <row r="41" spans="1:10" ht="16" thickBot="1" x14ac:dyDescent="0.25">
      <c r="A41" t="s">
        <v>63</v>
      </c>
      <c r="B41" s="33">
        <v>15293</v>
      </c>
      <c r="C41" s="34">
        <v>11105</v>
      </c>
      <c r="D41" s="48">
        <f t="shared" si="0"/>
        <v>4188</v>
      </c>
      <c r="E41" s="49">
        <f t="shared" si="1"/>
        <v>0.37712742008104455</v>
      </c>
      <c r="H41" s="40"/>
      <c r="I41" s="40"/>
      <c r="J41" s="28"/>
    </row>
    <row r="42" spans="1:10" ht="16" thickBot="1" x14ac:dyDescent="0.25">
      <c r="A42" t="s">
        <v>64</v>
      </c>
      <c r="B42" s="33">
        <v>75372</v>
      </c>
      <c r="C42" s="34">
        <v>73644</v>
      </c>
      <c r="D42" s="48">
        <f t="shared" si="0"/>
        <v>1728</v>
      </c>
      <c r="E42" s="49">
        <f t="shared" si="1"/>
        <v>2.3464233338764868E-2</v>
      </c>
    </row>
  </sheetData>
  <mergeCells count="7">
    <mergeCell ref="K1:K2"/>
    <mergeCell ref="H1:I1"/>
    <mergeCell ref="B1:B2"/>
    <mergeCell ref="C1:C2"/>
    <mergeCell ref="D1:D2"/>
    <mergeCell ref="E1:E2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C16F-4122-4539-BF64-66CEEEFAB7F5}">
  <dimension ref="A1:O43"/>
  <sheetViews>
    <sheetView zoomScale="75" workbookViewId="0">
      <selection activeCell="A42" sqref="A42"/>
    </sheetView>
  </sheetViews>
  <sheetFormatPr baseColWidth="10" defaultColWidth="8.83203125" defaultRowHeight="15" x14ac:dyDescent="0.2"/>
  <cols>
    <col min="1" max="1" width="70.1640625" bestFit="1" customWidth="1"/>
    <col min="2" max="3" width="10.1640625" bestFit="1" customWidth="1"/>
    <col min="9" max="9" width="59.1640625" bestFit="1" customWidth="1"/>
    <col min="10" max="11" width="10.1640625" bestFit="1" customWidth="1"/>
    <col min="12" max="12" width="10.1640625" customWidth="1"/>
  </cols>
  <sheetData>
    <row r="1" spans="1:15" ht="14.5" customHeight="1" x14ac:dyDescent="0.2">
      <c r="A1" s="2" t="s">
        <v>29</v>
      </c>
      <c r="B1" s="56" t="s">
        <v>1</v>
      </c>
      <c r="C1" s="58" t="s">
        <v>2</v>
      </c>
      <c r="D1" s="62" t="s">
        <v>11</v>
      </c>
      <c r="E1" s="63"/>
      <c r="G1" s="10" t="s">
        <v>12</v>
      </c>
      <c r="H1" s="9"/>
      <c r="I1" s="2" t="s">
        <v>65</v>
      </c>
      <c r="J1" s="56" t="s">
        <v>0</v>
      </c>
      <c r="K1" s="56"/>
      <c r="L1" s="62" t="s">
        <v>11</v>
      </c>
      <c r="M1" s="63"/>
      <c r="O1" s="10" t="s">
        <v>12</v>
      </c>
    </row>
    <row r="2" spans="1:15" x14ac:dyDescent="0.2">
      <c r="A2" s="3" t="s">
        <v>3</v>
      </c>
      <c r="B2" s="57"/>
      <c r="C2" s="59"/>
      <c r="D2" s="11">
        <v>2024</v>
      </c>
      <c r="E2" s="12">
        <v>2023</v>
      </c>
      <c r="G2" s="12">
        <v>2024</v>
      </c>
      <c r="H2" s="9"/>
      <c r="I2" s="3" t="s">
        <v>3</v>
      </c>
      <c r="J2" s="1" t="s">
        <v>1</v>
      </c>
      <c r="K2" s="1" t="s">
        <v>2</v>
      </c>
      <c r="L2" s="11">
        <v>2024</v>
      </c>
      <c r="M2" s="12">
        <v>2023</v>
      </c>
      <c r="O2" s="12">
        <v>2024</v>
      </c>
    </row>
    <row r="3" spans="1:15" ht="16" thickBot="1" x14ac:dyDescent="0.25">
      <c r="A3" t="s">
        <v>30</v>
      </c>
      <c r="B3" s="26"/>
      <c r="C3" s="27"/>
      <c r="G3" t="s">
        <v>112</v>
      </c>
      <c r="I3" t="s">
        <v>66</v>
      </c>
      <c r="J3" s="26"/>
      <c r="K3" s="26"/>
      <c r="L3" s="26"/>
      <c r="O3" s="49" t="s">
        <v>112</v>
      </c>
    </row>
    <row r="4" spans="1:15" ht="16" thickBot="1" x14ac:dyDescent="0.25">
      <c r="A4" t="s">
        <v>31</v>
      </c>
      <c r="B4" s="28">
        <v>3069</v>
      </c>
      <c r="C4" s="29">
        <v>2741</v>
      </c>
      <c r="D4" s="49">
        <f>B4/$B$18</f>
        <v>4.0718038528896675E-2</v>
      </c>
      <c r="E4" s="49">
        <f>C4/$C$18</f>
        <v>3.7219596980066265E-2</v>
      </c>
      <c r="G4" s="64">
        <v>0.11799999999999999</v>
      </c>
      <c r="I4" t="s">
        <v>67</v>
      </c>
      <c r="J4" s="28">
        <v>61643</v>
      </c>
      <c r="K4" s="28">
        <v>58048</v>
      </c>
      <c r="L4" s="53">
        <f>J4/$J$4</f>
        <v>1</v>
      </c>
      <c r="M4" s="49">
        <f>K4/$K$4</f>
        <v>1</v>
      </c>
      <c r="O4" s="64">
        <v>1</v>
      </c>
    </row>
    <row r="5" spans="1:15" ht="16" thickBot="1" x14ac:dyDescent="0.25">
      <c r="A5" t="s">
        <v>32</v>
      </c>
      <c r="B5" s="30">
        <v>0</v>
      </c>
      <c r="C5" s="31">
        <v>1127</v>
      </c>
      <c r="D5" s="49">
        <f t="shared" ref="D5:D42" si="0">B5/$B$18</f>
        <v>0</v>
      </c>
      <c r="E5" s="49">
        <f t="shared" ref="E5:E42" si="1">C5/$C$18</f>
        <v>1.5303351257400467E-2</v>
      </c>
      <c r="G5" s="49"/>
      <c r="I5" t="s">
        <v>68</v>
      </c>
      <c r="J5" s="26"/>
      <c r="K5" s="26"/>
      <c r="L5" s="53"/>
      <c r="M5" s="49"/>
      <c r="O5" s="49"/>
    </row>
    <row r="6" spans="1:15" ht="16" thickBot="1" x14ac:dyDescent="0.25">
      <c r="A6" t="s">
        <v>33</v>
      </c>
      <c r="B6" s="32">
        <v>3224</v>
      </c>
      <c r="C6" s="31">
        <v>3130</v>
      </c>
      <c r="D6" s="49">
        <f t="shared" si="0"/>
        <v>4.277450512126519E-2</v>
      </c>
      <c r="E6" s="49">
        <f t="shared" si="1"/>
        <v>4.25017652490359E-2</v>
      </c>
      <c r="G6" s="64">
        <v>2.9000000000000001E-2</v>
      </c>
      <c r="I6" t="s">
        <v>69</v>
      </c>
      <c r="J6" s="32">
        <v>16161</v>
      </c>
      <c r="K6" s="32">
        <v>14607</v>
      </c>
      <c r="L6" s="53">
        <f t="shared" ref="L6:L32" si="2">J6/$J$4</f>
        <v>0.26217088720535991</v>
      </c>
      <c r="M6" s="49">
        <f t="shared" ref="M6:M32" si="3">K6/$K$4</f>
        <v>0.25163657662624034</v>
      </c>
      <c r="O6" s="49"/>
    </row>
    <row r="7" spans="1:15" x14ac:dyDescent="0.2">
      <c r="A7" t="s">
        <v>34</v>
      </c>
      <c r="B7" s="32">
        <v>1428</v>
      </c>
      <c r="C7" s="31">
        <v>1314</v>
      </c>
      <c r="D7" s="49">
        <f t="shared" si="0"/>
        <v>1.8946027702595129E-2</v>
      </c>
      <c r="E7" s="49">
        <f t="shared" si="1"/>
        <v>1.7842594101352454E-2</v>
      </c>
      <c r="G7" s="49"/>
      <c r="I7" t="s">
        <v>70</v>
      </c>
      <c r="J7" s="32">
        <v>10566</v>
      </c>
      <c r="K7" s="32">
        <v>11069</v>
      </c>
      <c r="L7" s="53">
        <f t="shared" si="2"/>
        <v>0.17140632350794088</v>
      </c>
      <c r="M7" s="49">
        <f t="shared" si="3"/>
        <v>0.19068701764057333</v>
      </c>
      <c r="O7" s="49"/>
    </row>
    <row r="8" spans="1:15" ht="16" thickBot="1" x14ac:dyDescent="0.25">
      <c r="A8" t="s">
        <v>35</v>
      </c>
      <c r="B8" s="32">
        <v>2123</v>
      </c>
      <c r="C8" s="31">
        <v>1957</v>
      </c>
      <c r="D8" s="49">
        <f t="shared" si="0"/>
        <v>2.8166958552247517E-2</v>
      </c>
      <c r="E8" s="49">
        <f t="shared" si="1"/>
        <v>2.6573787409700723E-2</v>
      </c>
      <c r="G8" s="49"/>
      <c r="I8" t="s">
        <v>71</v>
      </c>
      <c r="J8" s="32">
        <v>5416</v>
      </c>
      <c r="K8" s="32">
        <v>4172</v>
      </c>
      <c r="L8" s="53">
        <f t="shared" si="2"/>
        <v>8.7860746556786662E-2</v>
      </c>
      <c r="M8" s="49">
        <f t="shared" si="3"/>
        <v>7.1871554575523702E-2</v>
      </c>
      <c r="O8" s="49"/>
    </row>
    <row r="9" spans="1:15" ht="16" thickBot="1" x14ac:dyDescent="0.25">
      <c r="A9" t="s">
        <v>4</v>
      </c>
      <c r="B9" s="33">
        <v>9844</v>
      </c>
      <c r="C9" s="34">
        <v>10269</v>
      </c>
      <c r="D9" s="49">
        <f t="shared" si="0"/>
        <v>0.13060552990500451</v>
      </c>
      <c r="E9" s="49">
        <f t="shared" si="1"/>
        <v>0.1394410949975558</v>
      </c>
      <c r="G9" s="64">
        <v>0.255</v>
      </c>
      <c r="I9" t="s">
        <v>72</v>
      </c>
      <c r="J9" s="32">
        <v>4228</v>
      </c>
      <c r="K9" s="32">
        <v>4041</v>
      </c>
      <c r="L9" s="53">
        <f t="shared" si="2"/>
        <v>6.8588485310578651E-2</v>
      </c>
      <c r="M9" s="49">
        <f t="shared" si="3"/>
        <v>6.9614801543550167E-2</v>
      </c>
      <c r="O9" s="49"/>
    </row>
    <row r="10" spans="1:15" x14ac:dyDescent="0.2">
      <c r="A10" t="s">
        <v>36</v>
      </c>
      <c r="B10" s="26"/>
      <c r="C10" s="27"/>
      <c r="D10" s="49"/>
      <c r="E10" s="49"/>
      <c r="G10" s="49"/>
      <c r="I10" t="s">
        <v>73</v>
      </c>
      <c r="J10" s="32">
        <v>3150</v>
      </c>
      <c r="K10" s="32">
        <v>2563</v>
      </c>
      <c r="L10" s="53">
        <f t="shared" si="2"/>
        <v>5.1100692698278799E-2</v>
      </c>
      <c r="M10" s="49">
        <f t="shared" si="3"/>
        <v>4.4153114663726574E-2</v>
      </c>
      <c r="O10" s="49"/>
    </row>
    <row r="11" spans="1:15" x14ac:dyDescent="0.2">
      <c r="A11" t="s">
        <v>37</v>
      </c>
      <c r="B11" s="32">
        <v>37595</v>
      </c>
      <c r="C11" s="31">
        <v>35486</v>
      </c>
      <c r="D11" s="49">
        <f t="shared" si="0"/>
        <v>0.49879265509738363</v>
      </c>
      <c r="E11" s="49">
        <f t="shared" si="1"/>
        <v>0.48185867144641792</v>
      </c>
      <c r="G11" s="49"/>
      <c r="I11" t="s">
        <v>74</v>
      </c>
      <c r="J11" s="32">
        <v>2616</v>
      </c>
      <c r="K11" s="32">
        <v>2432</v>
      </c>
      <c r="L11" s="53">
        <f t="shared" si="2"/>
        <v>4.243790860276106E-2</v>
      </c>
      <c r="M11" s="49">
        <f t="shared" si="3"/>
        <v>4.1896361631753032E-2</v>
      </c>
      <c r="O11" s="49"/>
    </row>
    <row r="12" spans="1:15" x14ac:dyDescent="0.2">
      <c r="A12" t="s">
        <v>38</v>
      </c>
      <c r="B12" s="32">
        <v>6644</v>
      </c>
      <c r="C12" s="31">
        <v>7004</v>
      </c>
      <c r="D12" s="49">
        <f t="shared" si="0"/>
        <v>8.8149445417396374E-2</v>
      </c>
      <c r="E12" s="49">
        <f t="shared" si="1"/>
        <v>9.5106186518928895E-2</v>
      </c>
      <c r="G12" s="49"/>
      <c r="I12" t="s">
        <v>75</v>
      </c>
      <c r="J12" s="32">
        <v>2513</v>
      </c>
      <c r="K12" s="32">
        <v>2341</v>
      </c>
      <c r="L12" s="53">
        <f t="shared" si="2"/>
        <v>4.0766997063737972E-2</v>
      </c>
      <c r="M12" s="49">
        <f t="shared" si="3"/>
        <v>4.0328693495038585E-2</v>
      </c>
      <c r="O12" s="49"/>
    </row>
    <row r="13" spans="1:15" x14ac:dyDescent="0.2">
      <c r="A13" t="s">
        <v>39</v>
      </c>
      <c r="B13" s="32">
        <v>9753</v>
      </c>
      <c r="C13" s="31">
        <v>9753</v>
      </c>
      <c r="D13" s="49">
        <f t="shared" si="0"/>
        <v>0.12939818500238814</v>
      </c>
      <c r="E13" s="49">
        <f t="shared" si="1"/>
        <v>0.13243441420889684</v>
      </c>
      <c r="G13" s="49"/>
      <c r="I13" t="s">
        <v>76</v>
      </c>
      <c r="J13" s="32">
        <v>2485</v>
      </c>
      <c r="K13" s="32">
        <v>2334</v>
      </c>
      <c r="L13" s="53">
        <f t="shared" si="2"/>
        <v>4.0312768684197718E-2</v>
      </c>
      <c r="M13" s="49">
        <f t="shared" si="3"/>
        <v>4.0208103638368249E-2</v>
      </c>
      <c r="O13" s="49"/>
    </row>
    <row r="14" spans="1:15" x14ac:dyDescent="0.2">
      <c r="A14" t="s">
        <v>40</v>
      </c>
      <c r="B14" s="32">
        <v>5975</v>
      </c>
      <c r="C14" s="31">
        <v>5983</v>
      </c>
      <c r="D14" s="49">
        <f t="shared" si="0"/>
        <v>7.9273470254205808E-2</v>
      </c>
      <c r="E14" s="49">
        <f t="shared" si="1"/>
        <v>8.124219216772581E-2</v>
      </c>
      <c r="G14" s="49"/>
      <c r="I14" t="s">
        <v>77</v>
      </c>
      <c r="J14" s="32">
        <v>2328</v>
      </c>
      <c r="K14" s="32">
        <v>2200</v>
      </c>
      <c r="L14" s="53">
        <f t="shared" si="2"/>
        <v>3.7765845270347001E-2</v>
      </c>
      <c r="M14" s="49">
        <f t="shared" si="3"/>
        <v>3.7899669239250276E-2</v>
      </c>
      <c r="O14" s="49"/>
    </row>
    <row r="15" spans="1:15" x14ac:dyDescent="0.2">
      <c r="A15" t="s">
        <v>41</v>
      </c>
      <c r="B15" s="32">
        <v>2846</v>
      </c>
      <c r="C15" s="31">
        <v>3457</v>
      </c>
      <c r="D15" s="49">
        <f t="shared" si="0"/>
        <v>3.7759380141166483E-2</v>
      </c>
      <c r="E15" s="49">
        <f t="shared" si="1"/>
        <v>4.6942045516267447E-2</v>
      </c>
      <c r="G15" s="49"/>
      <c r="I15" t="s">
        <v>78</v>
      </c>
      <c r="J15" s="32">
        <v>1788</v>
      </c>
      <c r="K15" s="32">
        <v>1750</v>
      </c>
      <c r="L15" s="53">
        <f t="shared" si="2"/>
        <v>2.9005726522070632E-2</v>
      </c>
      <c r="M15" s="49">
        <f t="shared" si="3"/>
        <v>3.0147464167585448E-2</v>
      </c>
      <c r="O15" s="49"/>
    </row>
    <row r="16" spans="1:15" x14ac:dyDescent="0.2">
      <c r="A16" t="s">
        <v>42</v>
      </c>
      <c r="B16" s="32">
        <v>2715</v>
      </c>
      <c r="C16" s="31">
        <v>1692</v>
      </c>
      <c r="D16" s="49">
        <f t="shared" si="0"/>
        <v>3.6021334182455025E-2</v>
      </c>
      <c r="E16" s="49">
        <f t="shared" si="1"/>
        <v>2.2975395144207267E-2</v>
      </c>
      <c r="G16" s="49"/>
      <c r="I16" t="s">
        <v>79</v>
      </c>
      <c r="J16" s="32">
        <v>1389</v>
      </c>
      <c r="K16" s="32">
        <v>1383</v>
      </c>
      <c r="L16" s="53">
        <f t="shared" si="2"/>
        <v>2.2532972113621985E-2</v>
      </c>
      <c r="M16" s="49">
        <f t="shared" si="3"/>
        <v>2.3825110253583241E-2</v>
      </c>
      <c r="O16" s="49"/>
    </row>
    <row r="17" spans="1:15" ht="16" thickBot="1" x14ac:dyDescent="0.25">
      <c r="A17" t="s">
        <v>43</v>
      </c>
      <c r="B17" s="33">
        <v>65528</v>
      </c>
      <c r="C17" s="34">
        <v>63375</v>
      </c>
      <c r="D17" s="49">
        <f t="shared" si="0"/>
        <v>0.86939447009499549</v>
      </c>
      <c r="E17" s="49">
        <f t="shared" si="1"/>
        <v>0.86055890500244414</v>
      </c>
      <c r="G17" s="49"/>
      <c r="I17" t="s">
        <v>80</v>
      </c>
      <c r="J17" s="30">
        <v>548</v>
      </c>
      <c r="K17" s="30">
        <v>532</v>
      </c>
      <c r="L17" s="53">
        <f t="shared" si="2"/>
        <v>8.8898982852878665E-3</v>
      </c>
      <c r="M17" s="49">
        <f t="shared" si="3"/>
        <v>9.1648291069459757E-3</v>
      </c>
      <c r="O17" s="49"/>
    </row>
    <row r="18" spans="1:15" ht="16" thickBot="1" x14ac:dyDescent="0.25">
      <c r="A18" s="52" t="s">
        <v>44</v>
      </c>
      <c r="B18" s="50">
        <v>75372</v>
      </c>
      <c r="C18" s="51">
        <v>73644</v>
      </c>
      <c r="D18" s="49">
        <f t="shared" si="0"/>
        <v>1</v>
      </c>
      <c r="E18" s="49">
        <f t="shared" si="1"/>
        <v>1</v>
      </c>
      <c r="G18" s="64">
        <v>1</v>
      </c>
      <c r="I18" t="s">
        <v>81</v>
      </c>
      <c r="J18" s="30">
        <v>0</v>
      </c>
      <c r="K18" s="30">
        <v>864</v>
      </c>
      <c r="L18" s="53">
        <f t="shared" si="2"/>
        <v>0</v>
      </c>
      <c r="M18" s="49">
        <f t="shared" si="3"/>
        <v>1.4884233737596472E-2</v>
      </c>
      <c r="O18" s="49"/>
    </row>
    <row r="19" spans="1:15" ht="16" thickBot="1" x14ac:dyDescent="0.25">
      <c r="A19" t="s">
        <v>45</v>
      </c>
      <c r="B19" s="26"/>
      <c r="C19" s="27"/>
      <c r="D19" s="49"/>
      <c r="E19" s="49"/>
      <c r="G19" s="49"/>
      <c r="I19" t="s">
        <v>82</v>
      </c>
      <c r="J19" s="32">
        <v>2460</v>
      </c>
      <c r="K19" s="32">
        <v>2239</v>
      </c>
      <c r="L19" s="53">
        <f t="shared" si="2"/>
        <v>3.9907207631036778E-2</v>
      </c>
      <c r="M19" s="49">
        <f t="shared" si="3"/>
        <v>3.8571527012127897E-2</v>
      </c>
      <c r="O19" s="49"/>
    </row>
    <row r="20" spans="1:15" ht="16" thickBot="1" x14ac:dyDescent="0.25">
      <c r="A20" t="s">
        <v>46</v>
      </c>
      <c r="B20" s="32">
        <v>2175</v>
      </c>
      <c r="C20" s="31">
        <v>2983</v>
      </c>
      <c r="D20" s="49">
        <f t="shared" si="0"/>
        <v>2.8856869925171152E-2</v>
      </c>
      <c r="E20" s="49">
        <f t="shared" si="1"/>
        <v>4.0505675954592361E-2</v>
      </c>
      <c r="G20" s="49"/>
      <c r="I20" t="s">
        <v>83</v>
      </c>
      <c r="J20" s="33">
        <v>55648</v>
      </c>
      <c r="K20" s="33">
        <v>52527</v>
      </c>
      <c r="L20" s="53">
        <f t="shared" si="2"/>
        <v>0.90274645945200593</v>
      </c>
      <c r="M20" s="49">
        <f t="shared" si="3"/>
        <v>0.90488905733186331</v>
      </c>
      <c r="O20" s="64">
        <v>0.91100000000000003</v>
      </c>
    </row>
    <row r="21" spans="1:15" ht="16" thickBot="1" x14ac:dyDescent="0.25">
      <c r="A21" t="s">
        <v>47</v>
      </c>
      <c r="B21" s="30">
        <v>763</v>
      </c>
      <c r="C21" s="35">
        <v>759</v>
      </c>
      <c r="D21" s="49">
        <f t="shared" si="0"/>
        <v>1.0123122645014063E-2</v>
      </c>
      <c r="E21" s="49">
        <f t="shared" si="1"/>
        <v>1.0306338601922763E-2</v>
      </c>
      <c r="G21" s="49"/>
      <c r="I21" t="s">
        <v>84</v>
      </c>
      <c r="J21" s="33">
        <v>5995</v>
      </c>
      <c r="K21" s="33">
        <v>5521</v>
      </c>
      <c r="L21" s="53">
        <f t="shared" si="2"/>
        <v>9.7253540547994094E-2</v>
      </c>
      <c r="M21" s="49">
        <f t="shared" si="3"/>
        <v>9.5110942668136716E-2</v>
      </c>
      <c r="O21" s="64">
        <v>8.8999999999999996E-2</v>
      </c>
    </row>
    <row r="22" spans="1:15" x14ac:dyDescent="0.2">
      <c r="A22" t="s">
        <v>48</v>
      </c>
      <c r="B22" s="32">
        <v>4650</v>
      </c>
      <c r="C22" s="31">
        <v>4446</v>
      </c>
      <c r="D22" s="49">
        <f t="shared" si="0"/>
        <v>6.1693997771055567E-2</v>
      </c>
      <c r="E22" s="49">
        <f t="shared" si="1"/>
        <v>6.037151702786378E-2</v>
      </c>
      <c r="G22" s="49"/>
      <c r="I22" t="s">
        <v>85</v>
      </c>
      <c r="J22" s="26"/>
      <c r="K22" s="26"/>
      <c r="L22" s="53"/>
      <c r="M22" s="49"/>
      <c r="O22" s="49"/>
    </row>
    <row r="23" spans="1:15" x14ac:dyDescent="0.2">
      <c r="A23" t="s">
        <v>49</v>
      </c>
      <c r="B23" s="32">
        <v>4762</v>
      </c>
      <c r="C23" s="31">
        <v>4561</v>
      </c>
      <c r="D23" s="49">
        <f t="shared" si="0"/>
        <v>6.3179960728121848E-2</v>
      </c>
      <c r="E23" s="49">
        <f t="shared" si="1"/>
        <v>6.193308348270056E-2</v>
      </c>
      <c r="G23" s="49"/>
      <c r="I23" t="s">
        <v>86</v>
      </c>
      <c r="J23" s="7">
        <v>-747</v>
      </c>
      <c r="K23" s="7">
        <v>-834</v>
      </c>
      <c r="L23" s="53">
        <f t="shared" si="2"/>
        <v>-1.2118164268448972E-2</v>
      </c>
      <c r="M23" s="49">
        <f t="shared" si="3"/>
        <v>-1.436742006615215E-2</v>
      </c>
      <c r="O23" s="49"/>
    </row>
    <row r="24" spans="1:15" x14ac:dyDescent="0.2">
      <c r="A24" t="s">
        <v>50</v>
      </c>
      <c r="B24" s="32">
        <v>1100</v>
      </c>
      <c r="C24" s="31">
        <v>1100</v>
      </c>
      <c r="D24" s="49">
        <f t="shared" si="0"/>
        <v>1.4594279042615295E-2</v>
      </c>
      <c r="E24" s="49">
        <f t="shared" si="1"/>
        <v>1.4936722611482265E-2</v>
      </c>
      <c r="G24" s="49"/>
      <c r="I24" t="s">
        <v>87</v>
      </c>
      <c r="J24" s="7">
        <v>-319</v>
      </c>
      <c r="K24" s="32">
        <v>1263</v>
      </c>
      <c r="L24" s="53">
        <f t="shared" si="2"/>
        <v>-5.1749590383336303E-3</v>
      </c>
      <c r="M24" s="49">
        <f t="shared" si="3"/>
        <v>2.1757855567805955E-2</v>
      </c>
      <c r="O24" s="49"/>
    </row>
    <row r="25" spans="1:15" ht="16" thickBot="1" x14ac:dyDescent="0.25">
      <c r="A25" t="s">
        <v>51</v>
      </c>
      <c r="B25" s="32">
        <v>1812</v>
      </c>
      <c r="C25" s="31">
        <v>1617</v>
      </c>
      <c r="D25" s="49">
        <f t="shared" si="0"/>
        <v>2.4040757841108103E-2</v>
      </c>
      <c r="E25" s="49">
        <f t="shared" si="1"/>
        <v>2.195698223887893E-2</v>
      </c>
      <c r="G25" s="49"/>
      <c r="I25" t="s">
        <v>88</v>
      </c>
      <c r="J25" s="7">
        <v>-39</v>
      </c>
      <c r="K25" s="7">
        <v>-63</v>
      </c>
      <c r="L25" s="53">
        <f t="shared" si="2"/>
        <v>-6.3267524293107085E-4</v>
      </c>
      <c r="M25" s="49">
        <f t="shared" si="3"/>
        <v>-1.0853087100330761E-3</v>
      </c>
      <c r="O25" s="49"/>
    </row>
    <row r="26" spans="1:15" ht="16" thickBot="1" x14ac:dyDescent="0.25">
      <c r="A26" t="s">
        <v>5</v>
      </c>
      <c r="B26" s="33">
        <v>26670</v>
      </c>
      <c r="C26" s="34">
        <v>26418</v>
      </c>
      <c r="D26" s="49">
        <f t="shared" si="0"/>
        <v>0.35384492915140903</v>
      </c>
      <c r="E26" s="49">
        <f t="shared" si="1"/>
        <v>0.3587257617728532</v>
      </c>
      <c r="G26" s="64">
        <v>0.315</v>
      </c>
      <c r="I26" t="s">
        <v>89</v>
      </c>
      <c r="J26" s="7">
        <v>-232</v>
      </c>
      <c r="K26" s="7">
        <v>-279</v>
      </c>
      <c r="L26" s="53">
        <f t="shared" si="2"/>
        <v>-3.7636065733335495E-3</v>
      </c>
      <c r="M26" s="49">
        <f t="shared" si="3"/>
        <v>-4.8063671444321943E-3</v>
      </c>
      <c r="O26" s="49"/>
    </row>
    <row r="27" spans="1:15" ht="16" thickBot="1" x14ac:dyDescent="0.25">
      <c r="A27" t="s">
        <v>52</v>
      </c>
      <c r="B27" s="26"/>
      <c r="C27" s="27"/>
      <c r="D27" s="49"/>
      <c r="E27" s="49"/>
      <c r="G27" s="49"/>
      <c r="I27" t="s">
        <v>90</v>
      </c>
      <c r="J27" s="6">
        <v>-1337</v>
      </c>
      <c r="K27" s="37">
        <v>87</v>
      </c>
      <c r="L27" s="53">
        <f t="shared" si="2"/>
        <v>-2.1689405123047224E-2</v>
      </c>
      <c r="M27" s="49">
        <f t="shared" si="3"/>
        <v>1.4987596471885336E-3</v>
      </c>
      <c r="O27" s="49"/>
    </row>
    <row r="28" spans="1:15" ht="16" thickBot="1" x14ac:dyDescent="0.25">
      <c r="A28" t="s">
        <v>53</v>
      </c>
      <c r="B28" s="32">
        <v>14019</v>
      </c>
      <c r="C28" s="31">
        <v>17071</v>
      </c>
      <c r="D28" s="49">
        <f t="shared" si="0"/>
        <v>0.18599745263493075</v>
      </c>
      <c r="E28" s="49">
        <f t="shared" si="1"/>
        <v>0.23180435609146705</v>
      </c>
      <c r="I28" t="s">
        <v>91</v>
      </c>
      <c r="J28" s="33">
        <v>4658</v>
      </c>
      <c r="K28" s="33">
        <v>5608</v>
      </c>
      <c r="L28" s="53">
        <f t="shared" si="2"/>
        <v>7.5564135424946874E-2</v>
      </c>
      <c r="M28" s="49">
        <f t="shared" si="3"/>
        <v>9.6609702315325244E-2</v>
      </c>
      <c r="O28" s="49"/>
    </row>
    <row r="29" spans="1:15" ht="16" thickBot="1" x14ac:dyDescent="0.25">
      <c r="A29" t="s">
        <v>54</v>
      </c>
      <c r="B29" s="32">
        <v>3144</v>
      </c>
      <c r="C29" s="31">
        <v>3601</v>
      </c>
      <c r="D29" s="49">
        <f t="shared" si="0"/>
        <v>4.1713103009074985E-2</v>
      </c>
      <c r="E29" s="49">
        <f t="shared" si="1"/>
        <v>4.8897398294497851E-2</v>
      </c>
      <c r="I29" t="s">
        <v>92</v>
      </c>
      <c r="J29" s="4">
        <v>-1201</v>
      </c>
      <c r="K29" s="7">
        <v>-999</v>
      </c>
      <c r="L29" s="53">
        <f t="shared" si="2"/>
        <v>-1.9483152993851695E-2</v>
      </c>
      <c r="M29" s="49">
        <f t="shared" si="3"/>
        <v>-1.7209895259095921E-2</v>
      </c>
      <c r="O29" s="49"/>
    </row>
    <row r="30" spans="1:15" ht="16" thickBot="1" x14ac:dyDescent="0.25">
      <c r="A30" t="s">
        <v>55</v>
      </c>
      <c r="B30" s="32">
        <v>5814</v>
      </c>
      <c r="C30" s="31">
        <v>6468</v>
      </c>
      <c r="D30" s="49">
        <f t="shared" si="0"/>
        <v>7.7137398503423021E-2</v>
      </c>
      <c r="E30" s="49">
        <f t="shared" si="1"/>
        <v>8.7827928955515722E-2</v>
      </c>
      <c r="I30" t="s">
        <v>93</v>
      </c>
      <c r="J30" s="38">
        <v>3457</v>
      </c>
      <c r="K30" s="38">
        <v>4609</v>
      </c>
      <c r="L30" s="53">
        <f t="shared" si="2"/>
        <v>5.6080982431095175E-2</v>
      </c>
      <c r="M30" s="49">
        <f t="shared" si="3"/>
        <v>7.939980705622933E-2</v>
      </c>
      <c r="O30" s="64">
        <v>5.5E-2</v>
      </c>
    </row>
    <row r="31" spans="1:15" x14ac:dyDescent="0.2">
      <c r="A31" t="s">
        <v>56</v>
      </c>
      <c r="B31" s="32">
        <v>2176</v>
      </c>
      <c r="C31" s="35">
        <v>908</v>
      </c>
      <c r="D31" s="49">
        <f t="shared" si="0"/>
        <v>2.8870137451573529E-2</v>
      </c>
      <c r="E31" s="49">
        <f t="shared" si="1"/>
        <v>1.2329585573841725E-2</v>
      </c>
      <c r="G31" s="49"/>
      <c r="I31" t="s">
        <v>94</v>
      </c>
      <c r="J31" s="39">
        <v>5.39</v>
      </c>
      <c r="K31" s="39">
        <v>7.21</v>
      </c>
      <c r="L31" s="53">
        <f t="shared" si="2"/>
        <v>8.7438963061499267E-5</v>
      </c>
      <c r="M31" s="49">
        <f t="shared" si="3"/>
        <v>1.2420755237045204E-4</v>
      </c>
      <c r="O31" s="49"/>
    </row>
    <row r="32" spans="1:15" ht="16" thickBot="1" x14ac:dyDescent="0.25">
      <c r="A32" t="s">
        <v>57</v>
      </c>
      <c r="B32" s="32">
        <v>3744</v>
      </c>
      <c r="C32" s="31">
        <v>3561</v>
      </c>
      <c r="D32" s="49">
        <f t="shared" si="0"/>
        <v>4.9673618850501512E-2</v>
      </c>
      <c r="E32" s="49">
        <f t="shared" si="1"/>
        <v>4.8354244744989408E-2</v>
      </c>
      <c r="G32" s="49"/>
      <c r="I32" t="s">
        <v>95</v>
      </c>
      <c r="J32" s="39">
        <v>5.33</v>
      </c>
      <c r="K32" s="39">
        <v>7.17</v>
      </c>
      <c r="L32" s="53">
        <f t="shared" si="2"/>
        <v>8.6465616533913013E-5</v>
      </c>
      <c r="M32" s="49">
        <f t="shared" si="3"/>
        <v>1.2351846747519295E-4</v>
      </c>
      <c r="O32" s="49"/>
    </row>
    <row r="33" spans="1:15" ht="16" thickBot="1" x14ac:dyDescent="0.25">
      <c r="A33" t="s">
        <v>58</v>
      </c>
      <c r="B33" s="33">
        <v>33409</v>
      </c>
      <c r="C33" s="34">
        <v>36121</v>
      </c>
      <c r="D33" s="49">
        <f t="shared" si="0"/>
        <v>0.44325478957703124</v>
      </c>
      <c r="E33" s="49">
        <f t="shared" si="1"/>
        <v>0.49048123404486449</v>
      </c>
      <c r="G33" s="64">
        <v>0.51400000000000001</v>
      </c>
      <c r="J33" s="36"/>
      <c r="K33" s="36"/>
      <c r="L33" s="36"/>
      <c r="O33" s="49"/>
    </row>
    <row r="34" spans="1:15" x14ac:dyDescent="0.2">
      <c r="A34" t="s">
        <v>59</v>
      </c>
      <c r="B34" s="26"/>
      <c r="C34" s="27"/>
      <c r="D34" s="49"/>
      <c r="E34" s="49"/>
      <c r="G34" s="49"/>
      <c r="J34" s="26"/>
      <c r="K34" s="26"/>
      <c r="L34" s="26"/>
      <c r="O34" s="49"/>
    </row>
    <row r="35" spans="1:15" x14ac:dyDescent="0.2">
      <c r="A35" t="s">
        <v>60</v>
      </c>
      <c r="B35" s="26"/>
      <c r="C35" s="27"/>
      <c r="D35" s="49"/>
      <c r="E35" s="49"/>
      <c r="G35" s="49"/>
      <c r="J35" s="28"/>
      <c r="K35" s="28"/>
      <c r="L35" s="28"/>
    </row>
    <row r="36" spans="1:15" x14ac:dyDescent="0.2">
      <c r="A36" t="s">
        <v>61</v>
      </c>
      <c r="B36" s="30">
        <v>0</v>
      </c>
      <c r="C36" s="35">
        <v>0</v>
      </c>
      <c r="D36" s="49">
        <f t="shared" si="0"/>
        <v>0</v>
      </c>
      <c r="E36" s="49">
        <f t="shared" si="1"/>
        <v>0</v>
      </c>
      <c r="G36" s="49"/>
      <c r="J36" s="36"/>
      <c r="K36" s="36"/>
      <c r="L36" s="36"/>
    </row>
    <row r="37" spans="1:15" x14ac:dyDescent="0.2">
      <c r="A37" t="s">
        <v>6</v>
      </c>
      <c r="B37" s="32">
        <v>11740</v>
      </c>
      <c r="C37" s="31">
        <v>11641</v>
      </c>
      <c r="D37" s="49">
        <f t="shared" si="0"/>
        <v>0.15576075996391234</v>
      </c>
      <c r="E37" s="49">
        <f t="shared" si="1"/>
        <v>0.1580712617456955</v>
      </c>
      <c r="G37" s="49"/>
      <c r="J37" s="26"/>
      <c r="K37" s="26"/>
      <c r="L37" s="26"/>
    </row>
    <row r="38" spans="1:15" x14ac:dyDescent="0.2">
      <c r="A38" t="s">
        <v>7</v>
      </c>
      <c r="B38" s="32">
        <v>8783</v>
      </c>
      <c r="C38" s="31">
        <v>5650</v>
      </c>
      <c r="D38" s="49">
        <f t="shared" si="0"/>
        <v>0.11652868439208194</v>
      </c>
      <c r="E38" s="49">
        <f t="shared" si="1"/>
        <v>7.6720438868068008E-2</v>
      </c>
      <c r="G38" s="49"/>
      <c r="J38" s="30"/>
      <c r="K38" s="30"/>
      <c r="L38" s="30"/>
    </row>
    <row r="39" spans="1:15" x14ac:dyDescent="0.2">
      <c r="A39" t="s">
        <v>8</v>
      </c>
      <c r="B39" s="4">
        <v>-4979</v>
      </c>
      <c r="C39" s="5">
        <v>-5845</v>
      </c>
      <c r="D39" s="49">
        <f t="shared" si="0"/>
        <v>-6.6059013957437782E-2</v>
      </c>
      <c r="E39" s="49">
        <f t="shared" si="1"/>
        <v>-7.9368312421921675E-2</v>
      </c>
      <c r="G39" s="49"/>
      <c r="J39" s="36"/>
      <c r="K39" s="36"/>
      <c r="L39" s="36"/>
    </row>
    <row r="40" spans="1:15" ht="16" thickBot="1" x14ac:dyDescent="0.25">
      <c r="A40" t="s">
        <v>62</v>
      </c>
      <c r="B40" s="7">
        <v>-251</v>
      </c>
      <c r="C40" s="8">
        <v>-341</v>
      </c>
      <c r="D40" s="49">
        <f t="shared" si="0"/>
        <v>-3.3301491269967626E-3</v>
      </c>
      <c r="E40" s="49">
        <f t="shared" si="1"/>
        <v>-4.6303840095595029E-3</v>
      </c>
      <c r="G40" s="49"/>
      <c r="J40" s="26"/>
      <c r="K40" s="26"/>
      <c r="L40" s="26"/>
    </row>
    <row r="41" spans="1:15" ht="16" thickBot="1" x14ac:dyDescent="0.25">
      <c r="A41" t="s">
        <v>63</v>
      </c>
      <c r="B41" s="33">
        <v>15293</v>
      </c>
      <c r="C41" s="34">
        <v>11105</v>
      </c>
      <c r="D41" s="49">
        <f t="shared" si="0"/>
        <v>0.20290028127155973</v>
      </c>
      <c r="E41" s="49">
        <f t="shared" si="1"/>
        <v>0.15079300418228234</v>
      </c>
      <c r="G41" s="64">
        <v>0.17100000000000001</v>
      </c>
      <c r="J41" s="40"/>
      <c r="K41" s="40"/>
      <c r="L41" s="28"/>
    </row>
    <row r="42" spans="1:15" ht="16" thickBot="1" x14ac:dyDescent="0.25">
      <c r="A42" t="s">
        <v>64</v>
      </c>
      <c r="B42" s="33">
        <v>75372</v>
      </c>
      <c r="C42" s="34">
        <v>73644</v>
      </c>
      <c r="D42" s="49">
        <f t="shared" si="0"/>
        <v>1</v>
      </c>
      <c r="E42" s="49">
        <f t="shared" si="1"/>
        <v>1</v>
      </c>
      <c r="G42" s="49"/>
    </row>
    <row r="43" spans="1:15" x14ac:dyDescent="0.2">
      <c r="G43" s="49"/>
    </row>
  </sheetData>
  <mergeCells count="5">
    <mergeCell ref="D1:E1"/>
    <mergeCell ref="L1:M1"/>
    <mergeCell ref="B1:B2"/>
    <mergeCell ref="C1:C2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6582-1930-4CC3-9F39-4B3BCDEF9CFE}">
  <dimension ref="A1:I24"/>
  <sheetViews>
    <sheetView tabSelected="1" zoomScale="88" zoomScaleNormal="100" workbookViewId="0">
      <pane ySplit="1" topLeftCell="A2" activePane="bottomLeft" state="frozen"/>
      <selection pane="bottomLeft" activeCell="P32" sqref="P32"/>
    </sheetView>
  </sheetViews>
  <sheetFormatPr baseColWidth="10" defaultColWidth="8.83203125" defaultRowHeight="15" x14ac:dyDescent="0.2"/>
  <cols>
    <col min="1" max="1" width="3.33203125" customWidth="1"/>
    <col min="2" max="2" width="34" style="17" customWidth="1"/>
    <col min="3" max="3" width="57.6640625" style="17" bestFit="1" customWidth="1"/>
    <col min="5" max="5" width="12.5" customWidth="1"/>
    <col min="6" max="6" width="12.6640625" customWidth="1"/>
    <col min="7" max="7" width="3.6640625" customWidth="1"/>
    <col min="8" max="8" width="12.6640625" customWidth="1"/>
    <col min="9" max="9" width="27.1640625" customWidth="1"/>
    <col min="10" max="10" width="18.6640625" customWidth="1"/>
    <col min="11" max="11" width="18.5" customWidth="1"/>
    <col min="12" max="12" width="17.5" customWidth="1"/>
  </cols>
  <sheetData>
    <row r="1" spans="1:9" ht="17" x14ac:dyDescent="0.2">
      <c r="A1" s="13"/>
      <c r="B1" s="14"/>
      <c r="C1" s="14" t="s">
        <v>96</v>
      </c>
      <c r="D1" s="15"/>
      <c r="E1" s="16">
        <v>2024</v>
      </c>
      <c r="F1" s="16">
        <v>2023</v>
      </c>
      <c r="G1" s="41"/>
      <c r="H1" s="41" t="s">
        <v>12</v>
      </c>
    </row>
    <row r="2" spans="1:9" x14ac:dyDescent="0.2">
      <c r="A2" s="10" t="s">
        <v>13</v>
      </c>
      <c r="D2" s="18"/>
      <c r="E2" s="18"/>
      <c r="F2" s="18"/>
      <c r="H2" t="s">
        <v>113</v>
      </c>
    </row>
    <row r="3" spans="1:9" x14ac:dyDescent="0.2">
      <c r="A3" s="10"/>
      <c r="D3" s="18"/>
      <c r="E3" s="18"/>
      <c r="F3" s="18"/>
      <c r="H3" s="65"/>
      <c r="I3" s="19" t="s">
        <v>14</v>
      </c>
    </row>
    <row r="4" spans="1:9" ht="16" x14ac:dyDescent="0.2">
      <c r="B4" s="17" t="s">
        <v>100</v>
      </c>
      <c r="C4" s="17" t="s">
        <v>101</v>
      </c>
      <c r="D4" s="18"/>
      <c r="E4" s="20">
        <f>'Balance Sheet'!B9/'Balance Sheet'!B26</f>
        <v>0.36910386201724782</v>
      </c>
      <c r="F4" s="20">
        <f>'Balance Sheet'!C9/'Balance Sheet'!C26</f>
        <v>0.38871224165341811</v>
      </c>
      <c r="G4" s="22"/>
      <c r="H4" s="66">
        <v>0.81</v>
      </c>
    </row>
    <row r="5" spans="1:9" x14ac:dyDescent="0.2">
      <c r="D5" s="18"/>
      <c r="E5" s="24"/>
      <c r="F5" s="24"/>
      <c r="H5" s="65"/>
    </row>
    <row r="6" spans="1:9" ht="16" x14ac:dyDescent="0.2">
      <c r="B6" s="17" t="s">
        <v>102</v>
      </c>
      <c r="C6" s="17" t="s">
        <v>103</v>
      </c>
      <c r="D6" s="18"/>
      <c r="E6" s="21">
        <f>(('Balance Sheet'!B4+'Balance Sheet'!B5+'Balance Sheet'!B6)/'Balance Sheet'!B26)</f>
        <v>0.23595800524934382</v>
      </c>
      <c r="F6" s="21">
        <f>(('Balance Sheet'!C4+'Balance Sheet'!C5+'Balance Sheet'!C6)/'Balance Sheet'!C26)</f>
        <v>0.26489514724808844</v>
      </c>
      <c r="G6" s="25"/>
      <c r="H6" s="66">
        <v>0.71</v>
      </c>
      <c r="I6" s="23"/>
    </row>
    <row r="7" spans="1:9" x14ac:dyDescent="0.2">
      <c r="D7" s="18"/>
      <c r="E7" s="24"/>
      <c r="F7" s="24"/>
      <c r="H7" s="65"/>
    </row>
    <row r="8" spans="1:9" ht="16" x14ac:dyDescent="0.2">
      <c r="B8" s="17" t="s">
        <v>16</v>
      </c>
      <c r="C8" s="17" t="s">
        <v>104</v>
      </c>
      <c r="D8" s="18"/>
      <c r="E8" s="21">
        <f>('Income Statement'!B4/(('Balance Sheet'!B18+'Balance Sheet'!C18)/2))</f>
        <v>0.8273339775594567</v>
      </c>
      <c r="F8" s="21">
        <f>('Income Statement'!C4/(('Balance Sheet'!C18+'Balance Sheet'!D18)/2))</f>
        <v>0.79554861168215329</v>
      </c>
      <c r="G8" s="22"/>
      <c r="H8" s="66">
        <v>0.78600000000000003</v>
      </c>
      <c r="I8" s="23" t="s">
        <v>105</v>
      </c>
    </row>
    <row r="9" spans="1:9" x14ac:dyDescent="0.2">
      <c r="D9" s="18"/>
      <c r="E9" s="21"/>
      <c r="F9" s="21"/>
      <c r="G9" s="22"/>
      <c r="H9" s="66"/>
    </row>
    <row r="10" spans="1:9" ht="16" x14ac:dyDescent="0.2">
      <c r="B10" s="17" t="s">
        <v>106</v>
      </c>
      <c r="C10" s="17" t="s">
        <v>107</v>
      </c>
      <c r="D10" s="18"/>
      <c r="E10" s="21">
        <f>('Income Statement'!B4/(('Balance Sheet'!B6+'Balance Sheet'!C6)/2))</f>
        <v>19.402895813660685</v>
      </c>
      <c r="F10" s="21">
        <f>('Income Statement'!C4/(('Balance Sheet'!C6+'Balance Sheet'!D6)/2))</f>
        <v>18.410402790992705</v>
      </c>
      <c r="G10" s="22"/>
      <c r="H10" s="66">
        <v>28.12</v>
      </c>
      <c r="I10" s="23" t="s">
        <v>15</v>
      </c>
    </row>
    <row r="11" spans="1:9" x14ac:dyDescent="0.2">
      <c r="D11" s="18"/>
      <c r="E11" s="21"/>
      <c r="F11" s="21"/>
      <c r="G11" s="22"/>
      <c r="H11" s="66"/>
    </row>
    <row r="12" spans="1:9" x14ac:dyDescent="0.2">
      <c r="A12" s="10" t="s">
        <v>17</v>
      </c>
      <c r="D12" s="18"/>
      <c r="E12" s="21"/>
      <c r="F12" s="21"/>
      <c r="G12" s="22"/>
      <c r="H12" s="66"/>
    </row>
    <row r="13" spans="1:9" ht="16" x14ac:dyDescent="0.2">
      <c r="B13" s="17" t="s">
        <v>18</v>
      </c>
      <c r="C13" s="17" t="s">
        <v>19</v>
      </c>
      <c r="D13" s="18"/>
      <c r="E13" s="21">
        <f>(('Balance Sheet'!B26+'Balance Sheet'!B33)/'Balance Sheet'!B18)</f>
        <v>0.79709971872844032</v>
      </c>
      <c r="F13" s="21">
        <f>(('Balance Sheet'!C26+'Balance Sheet'!C33)/'Balance Sheet'!C18)</f>
        <v>0.84920699581771764</v>
      </c>
      <c r="G13" s="22"/>
      <c r="H13" s="66">
        <v>0.83</v>
      </c>
    </row>
    <row r="14" spans="1:9" x14ac:dyDescent="0.2">
      <c r="D14" s="18"/>
      <c r="E14" s="21"/>
      <c r="F14" s="21"/>
      <c r="G14" s="22"/>
      <c r="H14" s="66"/>
    </row>
    <row r="15" spans="1:9" ht="16" x14ac:dyDescent="0.2">
      <c r="B15" s="17" t="s">
        <v>20</v>
      </c>
      <c r="C15" s="17" t="s">
        <v>21</v>
      </c>
      <c r="D15" s="18"/>
      <c r="E15" s="21">
        <f>('Balance Sheet'!B26+'Balance Sheet'!B33)/'Balance Sheet'!B41</f>
        <v>3.9285293925325311</v>
      </c>
      <c r="F15" s="21">
        <f>('Balance Sheet'!C26+'Balance Sheet'!C33)/'Balance Sheet'!C41</f>
        <v>5.6316073840612333</v>
      </c>
      <c r="G15" s="22"/>
      <c r="H15" s="66">
        <v>4.8499999999999996</v>
      </c>
    </row>
    <row r="16" spans="1:9" x14ac:dyDescent="0.2">
      <c r="D16" s="18"/>
      <c r="E16" s="21"/>
      <c r="F16" s="21"/>
      <c r="G16" s="22"/>
      <c r="H16" s="66"/>
    </row>
    <row r="17" spans="1:9" ht="16" x14ac:dyDescent="0.2">
      <c r="B17" s="17" t="s">
        <v>22</v>
      </c>
      <c r="C17" s="17" t="s">
        <v>23</v>
      </c>
      <c r="D17" s="18"/>
      <c r="E17" s="21">
        <f>'Income Statement'!B21/'Income Statement'!B23</f>
        <v>-8.025435073627845</v>
      </c>
      <c r="F17" s="21">
        <f>'Income Statement'!C21/'Income Statement'!C23</f>
        <v>-6.6199040767386093</v>
      </c>
      <c r="G17" s="22"/>
      <c r="H17" s="66" t="s">
        <v>114</v>
      </c>
    </row>
    <row r="18" spans="1:9" x14ac:dyDescent="0.2">
      <c r="D18" s="18"/>
      <c r="E18" s="21"/>
      <c r="F18" s="21"/>
      <c r="G18" s="22"/>
      <c r="H18" s="66"/>
    </row>
    <row r="19" spans="1:9" x14ac:dyDescent="0.2">
      <c r="A19" s="10" t="s">
        <v>24</v>
      </c>
      <c r="D19" s="18"/>
      <c r="E19" s="21"/>
      <c r="F19" s="21"/>
      <c r="G19" s="22"/>
      <c r="H19" s="66"/>
    </row>
    <row r="20" spans="1:9" ht="16" x14ac:dyDescent="0.2">
      <c r="B20" s="17" t="s">
        <v>25</v>
      </c>
      <c r="C20" s="17" t="s">
        <v>26</v>
      </c>
      <c r="D20" s="18"/>
      <c r="E20" s="21">
        <f>'Income Statement'!B30/'Income Statement'!B4</f>
        <v>5.6080982431095175E-2</v>
      </c>
      <c r="F20" s="21">
        <f>'Income Statement'!C30/'Income Statement'!C4</f>
        <v>7.939980705622933E-2</v>
      </c>
      <c r="G20" s="22"/>
      <c r="H20" s="66">
        <v>5.5199999999999999E-2</v>
      </c>
    </row>
    <row r="21" spans="1:9" x14ac:dyDescent="0.2">
      <c r="D21" s="18"/>
      <c r="E21" s="21"/>
      <c r="F21" s="21"/>
      <c r="G21" s="22"/>
      <c r="H21" s="66"/>
    </row>
    <row r="22" spans="1:9" ht="16" x14ac:dyDescent="0.2">
      <c r="B22" s="17" t="s">
        <v>27</v>
      </c>
      <c r="C22" s="17" t="s">
        <v>108</v>
      </c>
      <c r="D22" s="18"/>
      <c r="E22" s="21">
        <f>('Income Statement'!B30/(('Balance Sheet'!B18+'Balance Sheet'!C18)/2))</f>
        <v>4.6397702260159983E-2</v>
      </c>
      <c r="F22" s="21">
        <f>('Income Statement'!C30/(('Balance Sheet'!C18+'Balance Sheet'!D18)/2))</f>
        <v>6.316640627141408E-2</v>
      </c>
      <c r="G22" s="22"/>
      <c r="H22" s="66">
        <v>4.3400000000000001E-2</v>
      </c>
      <c r="I22" s="23" t="s">
        <v>109</v>
      </c>
    </row>
    <row r="23" spans="1:9" x14ac:dyDescent="0.2">
      <c r="D23" s="18"/>
      <c r="E23" s="21"/>
      <c r="F23" s="21"/>
      <c r="G23" s="22"/>
      <c r="H23" s="66"/>
    </row>
    <row r="24" spans="1:9" ht="16" x14ac:dyDescent="0.2">
      <c r="B24" s="17" t="s">
        <v>28</v>
      </c>
      <c r="C24" s="17" t="s">
        <v>110</v>
      </c>
      <c r="D24" s="18"/>
      <c r="E24" s="21">
        <f>('Income Statement'!B30/(('Balance Sheet'!B41+'Balance Sheet'!C41)/2))</f>
        <v>0.26191378134707177</v>
      </c>
      <c r="F24" s="21">
        <f>('Income Statement'!C30/(('Balance Sheet'!C41+'Balance Sheet'!D41)/2))</f>
        <v>0.52117374342737599</v>
      </c>
      <c r="G24" s="22"/>
      <c r="H24" s="66">
        <v>0.28000000000000003</v>
      </c>
      <c r="I24" s="23" t="s">
        <v>111</v>
      </c>
    </row>
  </sheetData>
  <pageMargins left="0.25" right="0.25" top="0.75" bottom="0.75" header="0.3" footer="0.3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9217-FE0B-4671-915E-C2BDDAFED671}">
  <dimension ref="A1:D42"/>
  <sheetViews>
    <sheetView zoomScale="75" workbookViewId="0">
      <selection activeCell="J44" sqref="J44"/>
    </sheetView>
  </sheetViews>
  <sheetFormatPr baseColWidth="10" defaultColWidth="8.83203125" defaultRowHeight="15" x14ac:dyDescent="0.2"/>
  <cols>
    <col min="1" max="1" width="68.6640625" customWidth="1"/>
    <col min="2" max="4" width="9.33203125" bestFit="1" customWidth="1"/>
  </cols>
  <sheetData>
    <row r="1" spans="1:4" ht="43.5" customHeight="1" x14ac:dyDescent="0.2">
      <c r="A1" s="2" t="s">
        <v>97</v>
      </c>
      <c r="B1" s="56" t="s">
        <v>1</v>
      </c>
      <c r="C1" s="58" t="s">
        <v>2</v>
      </c>
      <c r="D1" s="58" t="s">
        <v>99</v>
      </c>
    </row>
    <row r="2" spans="1:4" ht="21" customHeight="1" x14ac:dyDescent="0.2">
      <c r="A2" s="3" t="s">
        <v>3</v>
      </c>
      <c r="B2" s="57"/>
      <c r="C2" s="59"/>
      <c r="D2" s="59"/>
    </row>
    <row r="3" spans="1:4" x14ac:dyDescent="0.2">
      <c r="A3" t="s">
        <v>30</v>
      </c>
      <c r="B3" s="26"/>
      <c r="C3" s="27"/>
      <c r="D3" s="27"/>
    </row>
    <row r="4" spans="1:4" x14ac:dyDescent="0.2">
      <c r="A4" t="s">
        <v>31</v>
      </c>
      <c r="B4" s="28">
        <v>3069</v>
      </c>
      <c r="C4" s="29">
        <v>2741</v>
      </c>
      <c r="D4" s="29">
        <v>3266</v>
      </c>
    </row>
    <row r="5" spans="1:4" x14ac:dyDescent="0.2">
      <c r="A5" t="s">
        <v>32</v>
      </c>
      <c r="B5" s="30">
        <v>0</v>
      </c>
      <c r="C5" s="31">
        <v>1127</v>
      </c>
      <c r="D5" s="31">
        <v>3268</v>
      </c>
    </row>
    <row r="6" spans="1:4" x14ac:dyDescent="0.2">
      <c r="A6" t="s">
        <v>33</v>
      </c>
      <c r="B6" s="32">
        <v>3224</v>
      </c>
      <c r="C6" s="31">
        <v>3130</v>
      </c>
      <c r="D6" s="31">
        <v>3176</v>
      </c>
    </row>
    <row r="7" spans="1:4" x14ac:dyDescent="0.2">
      <c r="A7" t="s">
        <v>34</v>
      </c>
      <c r="B7" s="32">
        <v>1428</v>
      </c>
      <c r="C7" s="31">
        <v>1314</v>
      </c>
      <c r="D7" s="31">
        <v>1424</v>
      </c>
    </row>
    <row r="8" spans="1:4" x14ac:dyDescent="0.2">
      <c r="A8" t="s">
        <v>35</v>
      </c>
      <c r="B8" s="32">
        <v>2123</v>
      </c>
      <c r="C8" s="31">
        <v>1957</v>
      </c>
      <c r="D8" s="31">
        <v>1877</v>
      </c>
    </row>
    <row r="9" spans="1:4" ht="16" thickBot="1" x14ac:dyDescent="0.25">
      <c r="A9" t="s">
        <v>4</v>
      </c>
      <c r="B9" s="33">
        <v>9844</v>
      </c>
      <c r="C9" s="34">
        <v>10269</v>
      </c>
      <c r="D9" s="34">
        <v>13011</v>
      </c>
    </row>
    <row r="10" spans="1:4" x14ac:dyDescent="0.2">
      <c r="A10" t="s">
        <v>36</v>
      </c>
      <c r="B10" s="26"/>
      <c r="C10" s="27"/>
      <c r="D10" s="27"/>
    </row>
    <row r="11" spans="1:4" x14ac:dyDescent="0.2">
      <c r="A11" t="s">
        <v>37</v>
      </c>
      <c r="B11" s="32">
        <v>37595</v>
      </c>
      <c r="C11" s="31">
        <v>35486</v>
      </c>
      <c r="D11" s="31">
        <v>33109</v>
      </c>
    </row>
    <row r="12" spans="1:4" x14ac:dyDescent="0.2">
      <c r="A12" t="s">
        <v>38</v>
      </c>
      <c r="B12" s="32">
        <v>6644</v>
      </c>
      <c r="C12" s="31">
        <v>7004</v>
      </c>
      <c r="D12" s="31">
        <v>7036</v>
      </c>
    </row>
    <row r="13" spans="1:4" x14ac:dyDescent="0.2">
      <c r="A13" t="s">
        <v>39</v>
      </c>
      <c r="B13" s="32">
        <v>9753</v>
      </c>
      <c r="C13" s="31">
        <v>9753</v>
      </c>
      <c r="D13" s="31">
        <v>9753</v>
      </c>
    </row>
    <row r="14" spans="1:4" x14ac:dyDescent="0.2">
      <c r="A14" t="s">
        <v>40</v>
      </c>
      <c r="B14" s="32">
        <v>5975</v>
      </c>
      <c r="C14" s="31">
        <v>5983</v>
      </c>
      <c r="D14" s="31">
        <v>5992</v>
      </c>
    </row>
    <row r="15" spans="1:4" x14ac:dyDescent="0.2">
      <c r="A15" t="s">
        <v>41</v>
      </c>
      <c r="B15" s="32">
        <v>2846</v>
      </c>
      <c r="C15" s="31">
        <v>3457</v>
      </c>
      <c r="D15" s="31">
        <v>2128</v>
      </c>
    </row>
    <row r="16" spans="1:4" x14ac:dyDescent="0.2">
      <c r="A16" t="s">
        <v>42</v>
      </c>
      <c r="B16" s="32">
        <v>2715</v>
      </c>
      <c r="C16" s="31">
        <v>1692</v>
      </c>
      <c r="D16" s="31">
        <v>1259</v>
      </c>
    </row>
    <row r="17" spans="1:4" ht="16" thickBot="1" x14ac:dyDescent="0.25">
      <c r="A17" t="s">
        <v>43</v>
      </c>
      <c r="B17" s="33">
        <v>65528</v>
      </c>
      <c r="C17" s="34">
        <v>63375</v>
      </c>
      <c r="D17" s="34">
        <v>59277</v>
      </c>
    </row>
    <row r="18" spans="1:4" ht="16" thickBot="1" x14ac:dyDescent="0.25">
      <c r="A18" t="s">
        <v>44</v>
      </c>
      <c r="B18" s="33">
        <v>75372</v>
      </c>
      <c r="C18" s="34">
        <v>73644</v>
      </c>
      <c r="D18" s="34">
        <v>72288</v>
      </c>
    </row>
    <row r="19" spans="1:4" x14ac:dyDescent="0.2">
      <c r="A19" t="s">
        <v>45</v>
      </c>
      <c r="B19" s="26"/>
      <c r="C19" s="27"/>
      <c r="D19" s="27"/>
    </row>
    <row r="20" spans="1:4" x14ac:dyDescent="0.2">
      <c r="A20" t="s">
        <v>46</v>
      </c>
      <c r="B20" s="32">
        <v>2175</v>
      </c>
      <c r="C20" s="31">
        <v>2983</v>
      </c>
      <c r="D20" s="31">
        <v>2359</v>
      </c>
    </row>
    <row r="21" spans="1:4" x14ac:dyDescent="0.2">
      <c r="A21" t="s">
        <v>47</v>
      </c>
      <c r="B21" s="30">
        <v>763</v>
      </c>
      <c r="C21" s="35">
        <v>759</v>
      </c>
      <c r="D21" s="35">
        <v>714</v>
      </c>
    </row>
    <row r="22" spans="1:4" x14ac:dyDescent="0.2">
      <c r="A22" t="s">
        <v>48</v>
      </c>
      <c r="B22" s="32">
        <v>4650</v>
      </c>
      <c r="C22" s="31">
        <v>4446</v>
      </c>
      <c r="D22" s="31">
        <v>5106</v>
      </c>
    </row>
    <row r="23" spans="1:4" x14ac:dyDescent="0.2">
      <c r="A23" t="s">
        <v>49</v>
      </c>
      <c r="B23" s="32">
        <v>4762</v>
      </c>
      <c r="C23" s="31">
        <v>4561</v>
      </c>
      <c r="D23" s="31">
        <v>3288</v>
      </c>
    </row>
    <row r="24" spans="1:4" x14ac:dyDescent="0.2">
      <c r="A24" t="s">
        <v>50</v>
      </c>
      <c r="B24" s="32">
        <v>1100</v>
      </c>
      <c r="C24" s="31">
        <v>1100</v>
      </c>
      <c r="D24" s="31">
        <v>1100</v>
      </c>
    </row>
    <row r="25" spans="1:4" x14ac:dyDescent="0.2">
      <c r="A25" t="s">
        <v>51</v>
      </c>
      <c r="B25" s="32">
        <v>1812</v>
      </c>
      <c r="C25" s="31">
        <v>1617</v>
      </c>
      <c r="D25" s="31">
        <v>1779</v>
      </c>
    </row>
    <row r="26" spans="1:4" ht="16" thickBot="1" x14ac:dyDescent="0.25">
      <c r="A26" t="s">
        <v>5</v>
      </c>
      <c r="B26" s="33">
        <v>26670</v>
      </c>
      <c r="C26" s="34">
        <v>26418</v>
      </c>
      <c r="D26" s="34">
        <v>25940</v>
      </c>
    </row>
    <row r="27" spans="1:4" x14ac:dyDescent="0.2">
      <c r="A27" t="s">
        <v>52</v>
      </c>
      <c r="B27" s="26"/>
      <c r="C27" s="27"/>
      <c r="D27" s="27"/>
    </row>
    <row r="28" spans="1:4" x14ac:dyDescent="0.2">
      <c r="A28" t="s">
        <v>53</v>
      </c>
      <c r="B28" s="32">
        <v>14019</v>
      </c>
      <c r="C28" s="31">
        <v>17071</v>
      </c>
      <c r="D28" s="31">
        <v>20671</v>
      </c>
    </row>
    <row r="29" spans="1:4" x14ac:dyDescent="0.2">
      <c r="A29" t="s">
        <v>54</v>
      </c>
      <c r="B29" s="32">
        <v>3144</v>
      </c>
      <c r="C29" s="31">
        <v>3601</v>
      </c>
      <c r="D29" s="31">
        <v>3707</v>
      </c>
    </row>
    <row r="30" spans="1:4" x14ac:dyDescent="0.2">
      <c r="A30" t="s">
        <v>55</v>
      </c>
      <c r="B30" s="32">
        <v>5814</v>
      </c>
      <c r="C30" s="31">
        <v>6468</v>
      </c>
      <c r="D30" s="31">
        <v>6866</v>
      </c>
    </row>
    <row r="31" spans="1:4" x14ac:dyDescent="0.2">
      <c r="A31" t="s">
        <v>56</v>
      </c>
      <c r="B31" s="32">
        <v>2176</v>
      </c>
      <c r="C31" s="35">
        <v>908</v>
      </c>
      <c r="D31" s="35">
        <v>24</v>
      </c>
    </row>
    <row r="32" spans="1:4" x14ac:dyDescent="0.2">
      <c r="A32" t="s">
        <v>57</v>
      </c>
      <c r="B32" s="32">
        <v>3744</v>
      </c>
      <c r="C32" s="31">
        <v>3561</v>
      </c>
      <c r="D32" s="31">
        <v>4050</v>
      </c>
    </row>
    <row r="33" spans="1:4" ht="16" thickBot="1" x14ac:dyDescent="0.25">
      <c r="A33" t="s">
        <v>58</v>
      </c>
      <c r="B33" s="33">
        <v>33409</v>
      </c>
      <c r="C33" s="34">
        <v>36121</v>
      </c>
      <c r="D33" s="34">
        <v>39766</v>
      </c>
    </row>
    <row r="34" spans="1:4" x14ac:dyDescent="0.2">
      <c r="A34" t="s">
        <v>59</v>
      </c>
      <c r="B34" s="26"/>
      <c r="C34" s="27"/>
      <c r="D34" s="27"/>
    </row>
    <row r="35" spans="1:4" x14ac:dyDescent="0.2">
      <c r="A35" t="s">
        <v>60</v>
      </c>
      <c r="B35" s="26"/>
      <c r="C35" s="27"/>
      <c r="D35" s="27"/>
    </row>
    <row r="36" spans="1:4" x14ac:dyDescent="0.2">
      <c r="A36" t="s">
        <v>61</v>
      </c>
      <c r="B36" s="30">
        <v>0</v>
      </c>
      <c r="C36" s="35">
        <v>0</v>
      </c>
      <c r="D36" s="35">
        <v>0</v>
      </c>
    </row>
    <row r="37" spans="1:4" x14ac:dyDescent="0.2">
      <c r="A37" t="s">
        <v>6</v>
      </c>
      <c r="B37" s="32">
        <v>11740</v>
      </c>
      <c r="C37" s="31">
        <v>11641</v>
      </c>
      <c r="D37" s="31">
        <v>11526</v>
      </c>
    </row>
    <row r="38" spans="1:4" x14ac:dyDescent="0.2">
      <c r="A38" t="s">
        <v>7</v>
      </c>
      <c r="B38" s="32">
        <v>8783</v>
      </c>
      <c r="C38" s="31">
        <v>5650</v>
      </c>
      <c r="D38" s="31">
        <v>1170</v>
      </c>
    </row>
    <row r="39" spans="1:4" x14ac:dyDescent="0.2">
      <c r="A39" t="s">
        <v>8</v>
      </c>
      <c r="B39" s="4">
        <v>-4979</v>
      </c>
      <c r="C39" s="5">
        <v>-5845</v>
      </c>
      <c r="D39" s="5">
        <v>-5801</v>
      </c>
    </row>
    <row r="40" spans="1:4" x14ac:dyDescent="0.2">
      <c r="A40" t="s">
        <v>62</v>
      </c>
      <c r="B40" s="7">
        <v>-251</v>
      </c>
      <c r="C40" s="8">
        <v>-341</v>
      </c>
      <c r="D40" s="8">
        <v>-313</v>
      </c>
    </row>
    <row r="41" spans="1:4" ht="16" thickBot="1" x14ac:dyDescent="0.25">
      <c r="A41" t="s">
        <v>63</v>
      </c>
      <c r="B41" s="33">
        <v>15293</v>
      </c>
      <c r="C41" s="34">
        <v>11105</v>
      </c>
      <c r="D41" s="34">
        <v>6582</v>
      </c>
    </row>
    <row r="42" spans="1:4" ht="16" thickBot="1" x14ac:dyDescent="0.25">
      <c r="A42" t="s">
        <v>64</v>
      </c>
      <c r="B42" s="33">
        <v>75372</v>
      </c>
      <c r="C42" s="34">
        <v>73644</v>
      </c>
      <c r="D42" s="34">
        <v>72288</v>
      </c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26CF-8498-4C76-B314-3D0A018F5458}">
  <dimension ref="A1:C32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45.33203125" bestFit="1" customWidth="1"/>
    <col min="2" max="3" width="10.1640625" bestFit="1" customWidth="1"/>
  </cols>
  <sheetData>
    <row r="1" spans="1:3" ht="46.5" customHeight="1" x14ac:dyDescent="0.2">
      <c r="A1" s="2" t="s">
        <v>98</v>
      </c>
      <c r="B1" s="56" t="s">
        <v>0</v>
      </c>
      <c r="C1" s="56"/>
    </row>
    <row r="2" spans="1:3" x14ac:dyDescent="0.2">
      <c r="A2" s="3" t="s">
        <v>3</v>
      </c>
      <c r="B2" s="1" t="s">
        <v>1</v>
      </c>
      <c r="C2" s="1" t="s">
        <v>2</v>
      </c>
    </row>
    <row r="3" spans="1:3" x14ac:dyDescent="0.2">
      <c r="A3" t="s">
        <v>66</v>
      </c>
      <c r="B3" s="26"/>
      <c r="C3" s="26"/>
    </row>
    <row r="4" spans="1:3" x14ac:dyDescent="0.2">
      <c r="A4" t="s">
        <v>67</v>
      </c>
      <c r="B4" s="28">
        <v>61643</v>
      </c>
      <c r="C4" s="28">
        <v>58048</v>
      </c>
    </row>
    <row r="5" spans="1:3" x14ac:dyDescent="0.2">
      <c r="A5" t="s">
        <v>68</v>
      </c>
      <c r="B5" s="26"/>
      <c r="C5" s="26"/>
    </row>
    <row r="6" spans="1:3" x14ac:dyDescent="0.2">
      <c r="A6" t="s">
        <v>69</v>
      </c>
      <c r="B6" s="32">
        <v>16161</v>
      </c>
      <c r="C6" s="32">
        <v>14607</v>
      </c>
    </row>
    <row r="7" spans="1:3" x14ac:dyDescent="0.2">
      <c r="A7" t="s">
        <v>70</v>
      </c>
      <c r="B7" s="32">
        <v>10566</v>
      </c>
      <c r="C7" s="32">
        <v>11069</v>
      </c>
    </row>
    <row r="8" spans="1:3" x14ac:dyDescent="0.2">
      <c r="A8" t="s">
        <v>71</v>
      </c>
      <c r="B8" s="32">
        <v>5416</v>
      </c>
      <c r="C8" s="32">
        <v>4172</v>
      </c>
    </row>
    <row r="9" spans="1:3" x14ac:dyDescent="0.2">
      <c r="A9" t="s">
        <v>72</v>
      </c>
      <c r="B9" s="32">
        <v>4228</v>
      </c>
      <c r="C9" s="32">
        <v>4041</v>
      </c>
    </row>
    <row r="10" spans="1:3" x14ac:dyDescent="0.2">
      <c r="A10" t="s">
        <v>73</v>
      </c>
      <c r="B10" s="32">
        <v>3150</v>
      </c>
      <c r="C10" s="32">
        <v>2563</v>
      </c>
    </row>
    <row r="11" spans="1:3" x14ac:dyDescent="0.2">
      <c r="A11" t="s">
        <v>74</v>
      </c>
      <c r="B11" s="32">
        <v>2616</v>
      </c>
      <c r="C11" s="32">
        <v>2432</v>
      </c>
    </row>
    <row r="12" spans="1:3" x14ac:dyDescent="0.2">
      <c r="A12" t="s">
        <v>75</v>
      </c>
      <c r="B12" s="32">
        <v>2513</v>
      </c>
      <c r="C12" s="32">
        <v>2341</v>
      </c>
    </row>
    <row r="13" spans="1:3" x14ac:dyDescent="0.2">
      <c r="A13" t="s">
        <v>76</v>
      </c>
      <c r="B13" s="32">
        <v>2485</v>
      </c>
      <c r="C13" s="32">
        <v>2334</v>
      </c>
    </row>
    <row r="14" spans="1:3" x14ac:dyDescent="0.2">
      <c r="A14" t="s">
        <v>77</v>
      </c>
      <c r="B14" s="32">
        <v>2328</v>
      </c>
      <c r="C14" s="32">
        <v>2200</v>
      </c>
    </row>
    <row r="15" spans="1:3" x14ac:dyDescent="0.2">
      <c r="A15" t="s">
        <v>78</v>
      </c>
      <c r="B15" s="32">
        <v>1788</v>
      </c>
      <c r="C15" s="32">
        <v>1750</v>
      </c>
    </row>
    <row r="16" spans="1:3" x14ac:dyDescent="0.2">
      <c r="A16" t="s">
        <v>79</v>
      </c>
      <c r="B16" s="32">
        <v>1389</v>
      </c>
      <c r="C16" s="32">
        <v>1383</v>
      </c>
    </row>
    <row r="17" spans="1:3" x14ac:dyDescent="0.2">
      <c r="A17" t="s">
        <v>80</v>
      </c>
      <c r="B17" s="30">
        <v>548</v>
      </c>
      <c r="C17" s="30">
        <v>532</v>
      </c>
    </row>
    <row r="18" spans="1:3" x14ac:dyDescent="0.2">
      <c r="A18" t="s">
        <v>81</v>
      </c>
      <c r="B18" s="30">
        <v>0</v>
      </c>
      <c r="C18" s="30">
        <v>864</v>
      </c>
    </row>
    <row r="19" spans="1:3" x14ac:dyDescent="0.2">
      <c r="A19" t="s">
        <v>82</v>
      </c>
      <c r="B19" s="32">
        <v>2460</v>
      </c>
      <c r="C19" s="32">
        <v>2239</v>
      </c>
    </row>
    <row r="20" spans="1:3" ht="16" thickBot="1" x14ac:dyDescent="0.25">
      <c r="A20" t="s">
        <v>83</v>
      </c>
      <c r="B20" s="33">
        <v>55648</v>
      </c>
      <c r="C20" s="33">
        <v>52527</v>
      </c>
    </row>
    <row r="21" spans="1:3" ht="16" thickBot="1" x14ac:dyDescent="0.25">
      <c r="A21" t="s">
        <v>84</v>
      </c>
      <c r="B21" s="33">
        <v>5995</v>
      </c>
      <c r="C21" s="33">
        <v>5521</v>
      </c>
    </row>
    <row r="22" spans="1:3" x14ac:dyDescent="0.2">
      <c r="A22" t="s">
        <v>85</v>
      </c>
      <c r="B22" s="26"/>
      <c r="C22" s="26"/>
    </row>
    <row r="23" spans="1:3" x14ac:dyDescent="0.2">
      <c r="A23" t="s">
        <v>86</v>
      </c>
      <c r="B23" s="42">
        <v>-747</v>
      </c>
      <c r="C23" s="42">
        <v>-834</v>
      </c>
    </row>
    <row r="24" spans="1:3" x14ac:dyDescent="0.2">
      <c r="A24" t="s">
        <v>87</v>
      </c>
      <c r="B24" s="42">
        <v>-319</v>
      </c>
      <c r="C24" s="43">
        <v>1263</v>
      </c>
    </row>
    <row r="25" spans="1:3" x14ac:dyDescent="0.2">
      <c r="A25" t="s">
        <v>88</v>
      </c>
      <c r="B25" s="42">
        <v>-39</v>
      </c>
      <c r="C25" s="42">
        <v>-63</v>
      </c>
    </row>
    <row r="26" spans="1:3" x14ac:dyDescent="0.2">
      <c r="A26" t="s">
        <v>89</v>
      </c>
      <c r="B26" s="42">
        <v>-232</v>
      </c>
      <c r="C26" s="42">
        <v>-279</v>
      </c>
    </row>
    <row r="27" spans="1:3" ht="16" thickBot="1" x14ac:dyDescent="0.25">
      <c r="A27" t="s">
        <v>90</v>
      </c>
      <c r="B27" s="44">
        <v>-1337</v>
      </c>
      <c r="C27" s="45">
        <v>87</v>
      </c>
    </row>
    <row r="28" spans="1:3" ht="16" thickBot="1" x14ac:dyDescent="0.25">
      <c r="A28" t="s">
        <v>91</v>
      </c>
      <c r="B28" s="33">
        <v>4658</v>
      </c>
      <c r="C28" s="33">
        <v>5608</v>
      </c>
    </row>
    <row r="29" spans="1:3" x14ac:dyDescent="0.2">
      <c r="A29" t="s">
        <v>92</v>
      </c>
      <c r="B29" s="43">
        <v>-1201</v>
      </c>
      <c r="C29" s="42">
        <v>-999</v>
      </c>
    </row>
    <row r="30" spans="1:3" ht="16" thickBot="1" x14ac:dyDescent="0.25">
      <c r="A30" t="s">
        <v>93</v>
      </c>
      <c r="B30" s="46">
        <v>3457</v>
      </c>
      <c r="C30" s="46">
        <v>4609</v>
      </c>
    </row>
    <row r="31" spans="1:3" x14ac:dyDescent="0.2">
      <c r="A31" t="s">
        <v>94</v>
      </c>
      <c r="B31" s="47">
        <v>5.39</v>
      </c>
      <c r="C31" s="47">
        <v>7.21</v>
      </c>
    </row>
    <row r="32" spans="1:3" x14ac:dyDescent="0.2">
      <c r="A32" t="s">
        <v>95</v>
      </c>
      <c r="B32" s="47">
        <v>5.33</v>
      </c>
      <c r="C32" s="47">
        <v>7.17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Horizontal Analysis</vt:lpstr>
      <vt:lpstr>Vertical Analysis</vt:lpstr>
      <vt:lpstr>Ratio Analysis</vt:lpstr>
      <vt:lpstr>Balance Sheet</vt:lpstr>
      <vt:lpstr>Income Statement</vt:lpstr>
    </vt:vector>
  </TitlesOfParts>
  <Company>Luther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Cord</dc:creator>
  <cp:lastModifiedBy>Nirbhay Chhabra</cp:lastModifiedBy>
  <dcterms:created xsi:type="dcterms:W3CDTF">2025-09-22T20:39:10Z</dcterms:created>
  <dcterms:modified xsi:type="dcterms:W3CDTF">2025-11-17T18:34:00Z</dcterms:modified>
</cp:coreProperties>
</file>